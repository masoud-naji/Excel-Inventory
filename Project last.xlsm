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customXml/itemProps78.xml" ContentType="application/vnd.openxmlformats-officedocument.customXmlProperties+xml"/>
  <Override PartName="/customXml/itemProps79.xml" ContentType="application/vnd.openxmlformats-officedocument.customXmlProperties+xml"/>
  <Override PartName="/customXml/itemProps80.xml" ContentType="application/vnd.openxmlformats-officedocument.customXmlProperties+xml"/>
  <Override PartName="/customXml/itemProps81.xml" ContentType="application/vnd.openxmlformats-officedocument.customXmlProperties+xml"/>
  <Override PartName="/customXml/itemProps82.xml" ContentType="application/vnd.openxmlformats-officedocument.customXmlProperties+xml"/>
  <Override PartName="/customXml/itemProps83.xml" ContentType="application/vnd.openxmlformats-officedocument.customXmlProperties+xml"/>
  <Override PartName="/customXml/itemProps84.xml" ContentType="application/vnd.openxmlformats-officedocument.customXmlProperties+xml"/>
  <Override PartName="/customXml/itemProps85.xml" ContentType="application/vnd.openxmlformats-officedocument.customXmlProperties+xml"/>
  <Override PartName="/customXml/itemProps86.xml" ContentType="application/vnd.openxmlformats-officedocument.customXmlProperties+xml"/>
  <Override PartName="/customXml/itemProps87.xml" ContentType="application/vnd.openxmlformats-officedocument.customXmlProperties+xml"/>
  <Override PartName="/customXml/itemProps88.xml" ContentType="application/vnd.openxmlformats-officedocument.customXmlProperties+xml"/>
  <Override PartName="/customXml/itemProps89.xml" ContentType="application/vnd.openxmlformats-officedocument.customXmlProperties+xml"/>
  <Override PartName="/customXml/itemProps90.xml" ContentType="application/vnd.openxmlformats-officedocument.customXmlProperties+xml"/>
  <Override PartName="/customXml/itemProps91.xml" ContentType="application/vnd.openxmlformats-officedocument.customXmlProperties+xml"/>
  <Override PartName="/customXml/itemProps92.xml" ContentType="application/vnd.openxmlformats-officedocument.customXmlProperties+xml"/>
  <Override PartName="/customXml/itemProps93.xml" ContentType="application/vnd.openxmlformats-officedocument.customXmlProperties+xml"/>
  <Override PartName="/customXml/itemProps94.xml" ContentType="application/vnd.openxmlformats-officedocument.customXmlProperties+xml"/>
  <Override PartName="/customXml/itemProps95.xml" ContentType="application/vnd.openxmlformats-officedocument.customXmlProperties+xml"/>
  <Override PartName="/customXml/itemProps96.xml" ContentType="application/vnd.openxmlformats-officedocument.customXmlProperties+xml"/>
  <Override PartName="/customXml/itemProps97.xml" ContentType="application/vnd.openxmlformats-officedocument.customXmlProperties+xml"/>
  <Override PartName="/customXml/itemProps98.xml" ContentType="application/vnd.openxmlformats-officedocument.customXmlProperties+xml"/>
  <Override PartName="/customXml/itemProps99.xml" ContentType="application/vnd.openxmlformats-officedocument.customXmlProperties+xml"/>
  <Override PartName="/customXml/itemProps100.xml" ContentType="application/vnd.openxmlformats-officedocument.customXmlProperties+xml"/>
  <Override PartName="/customXml/itemProps101.xml" ContentType="application/vnd.openxmlformats-officedocument.customXmlProperties+xml"/>
  <Override PartName="/customXml/itemProps102.xml" ContentType="application/vnd.openxmlformats-officedocument.customXmlProperties+xml"/>
  <Override PartName="/customXml/itemProps103.xml" ContentType="application/vnd.openxmlformats-officedocument.customXmlProperties+xml"/>
  <Override PartName="/customXml/itemProps104.xml" ContentType="application/vnd.openxmlformats-officedocument.customXmlProperties+xml"/>
  <Override PartName="/customXml/itemProps105.xml" ContentType="application/vnd.openxmlformats-officedocument.customXmlProperties+xml"/>
  <Override PartName="/customXml/itemProps106.xml" ContentType="application/vnd.openxmlformats-officedocument.customXmlProperties+xml"/>
  <Override PartName="/customXml/itemProps107.xml" ContentType="application/vnd.openxmlformats-officedocument.customXmlProperties+xml"/>
  <Override PartName="/customXml/itemProps108.xml" ContentType="application/vnd.openxmlformats-officedocument.customXmlProperties+xml"/>
  <Override PartName="/customXml/itemProps109.xml" ContentType="application/vnd.openxmlformats-officedocument.customXmlProperties+xml"/>
  <Override PartName="/customXml/itemProps110.xml" ContentType="application/vnd.openxmlformats-officedocument.customXmlProperties+xml"/>
  <Override PartName="/customXml/itemProps111.xml" ContentType="application/vnd.openxmlformats-officedocument.customXmlProperties+xml"/>
  <Override PartName="/customXml/itemProps112.xml" ContentType="application/vnd.openxmlformats-officedocument.customXmlProperties+xml"/>
  <Override PartName="/customXml/itemProps113.xml" ContentType="application/vnd.openxmlformats-officedocument.customXmlProperties+xml"/>
  <Override PartName="/customXml/itemProps11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30" codeName="{4D1C537B-E38A-612A-F078-A93A15B4B7F4}"/>
  <workbookPr codeName="ThisWorkbook" defaultThemeVersion="166925"/>
  <mc:AlternateContent xmlns:mc="http://schemas.openxmlformats.org/markup-compatibility/2006">
    <mc:Choice Requires="x15">
      <x15ac:absPath xmlns:x15ac="http://schemas.microsoft.com/office/spreadsheetml/2010/11/ac" url="D:\Project\resume project\"/>
    </mc:Choice>
  </mc:AlternateContent>
  <xr:revisionPtr revIDLastSave="0" documentId="13_ncr:1_{BD93B7C4-5A09-45E0-8069-0E19C7A80513}" xr6:coauthVersionLast="45" xr6:coauthVersionMax="45" xr10:uidLastSave="{00000000-0000-0000-0000-000000000000}"/>
  <bookViews>
    <workbookView xWindow="-120" yWindow="-120" windowWidth="29040" windowHeight="15840" xr2:uid="{5ABD2961-6E37-4007-AF9F-DB682FE540EB}"/>
  </bookViews>
  <sheets>
    <sheet name="Main" sheetId="3" r:id="rId1"/>
    <sheet name="Places" sheetId="81" state="hidden" r:id="rId2"/>
    <sheet name="Inventory" sheetId="50" r:id="rId3"/>
    <sheet name="Main Storage" sheetId="84" state="hidden" r:id="rId4"/>
    <sheet name="Inventory storage" sheetId="119" state="hidden" r:id="rId5"/>
    <sheet name="Order" sheetId="83" r:id="rId6"/>
    <sheet name="Connecticut" sheetId="214" r:id="rId7"/>
    <sheet name="Iowa" sheetId="215" r:id="rId8"/>
    <sheet name="Maine" sheetId="216" r:id="rId9"/>
    <sheet name="New York" sheetId="217" r:id="rId10"/>
    <sheet name="Montana" sheetId="218" r:id="rId11"/>
    <sheet name="New Jersey" sheetId="219" r:id="rId12"/>
  </sheets>
  <definedNames>
    <definedName name="_xlcn.WorksheetConnection_Projectlast.xlsmTBLPLace" hidden="1">TBLPLace[]</definedName>
    <definedName name="ExternalData_1" localSheetId="1" hidden="1">Places!$A$1:$A$52</definedName>
    <definedName name="Slicer_Brand">#N/A</definedName>
    <definedName name="Slicer_Company">#N/A</definedName>
  </definedNames>
  <calcPr calcId="191029"/>
  <pivotCaches>
    <pivotCache cacheId="0" r:id="rId13"/>
    <pivotCache cacheId="1" r:id="rId14"/>
    <pivotCache cacheId="2" r:id="rId15"/>
  </pivotCaches>
  <extLst>
    <ext xmlns:x14="http://schemas.microsoft.com/office/spreadsheetml/2009/9/main" uri="{876F7934-8845-4945-9796-88D515C7AA90}">
      <x14:pivotCaches>
        <pivotCache cacheId="3" r:id="rId16"/>
      </x14:pivotCaches>
    </ext>
    <ext xmlns:x14="http://schemas.microsoft.com/office/spreadsheetml/2009/9/main" uri="{BBE1A952-AA13-448e-AADC-164F8A28A991}">
      <x14:slicerCaches>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prd_84230aae-5d48-42dd-bedc-d9e6d00924d9" name="TBLprd" connection="Query - TBLprd"/>
          <x15:modelTable id="TBLinvtry 1_4f0194ab-d1f5-4e1f-8235-5e1971b23cb6" name="TBLinvtry 1" connection="Query - TBLinvtry"/>
          <x15:modelTable id="TBLPLace" name="TBLPLace" connection="WorksheetConnection_Project last.xlsm!TBLPLace"/>
        </x15:modelTables>
        <x15:modelRelationships>
          <x15:modelRelationship fromTable="TBLinvtry 1" fromColumn="Code" toTable="TBLprd" toColumn="Cod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11" i="219" l="1"/>
  <c r="C210" i="219"/>
  <c r="C209" i="219"/>
  <c r="C208" i="219"/>
  <c r="C207" i="219"/>
  <c r="C206" i="219"/>
  <c r="C205" i="219"/>
  <c r="C204" i="219"/>
  <c r="C203" i="219"/>
  <c r="C202" i="219"/>
  <c r="C201" i="219"/>
  <c r="C200" i="219"/>
  <c r="C199" i="219"/>
  <c r="C198" i="219"/>
  <c r="C197" i="219"/>
  <c r="C196" i="219"/>
  <c r="C195" i="219"/>
  <c r="C194" i="219"/>
  <c r="C193" i="219"/>
  <c r="C192" i="219"/>
  <c r="C191" i="219"/>
  <c r="C190" i="219"/>
  <c r="C189" i="219"/>
  <c r="C188" i="219"/>
  <c r="C187" i="219"/>
  <c r="C186" i="219"/>
  <c r="C185" i="219"/>
  <c r="C184" i="219"/>
  <c r="C183" i="219"/>
  <c r="C182" i="219"/>
  <c r="C181" i="219"/>
  <c r="C180" i="219"/>
  <c r="C179" i="219"/>
  <c r="C178" i="219"/>
  <c r="C177" i="219"/>
  <c r="C176" i="219"/>
  <c r="C175" i="219"/>
  <c r="C174" i="219"/>
  <c r="C173" i="219"/>
  <c r="C172" i="219"/>
  <c r="C171" i="219"/>
  <c r="C170" i="219"/>
  <c r="C169" i="219"/>
  <c r="C168" i="219"/>
  <c r="C167" i="219"/>
  <c r="C166" i="219"/>
  <c r="C165" i="219"/>
  <c r="C164" i="219"/>
  <c r="C163" i="219"/>
  <c r="C162" i="219"/>
  <c r="C161" i="219"/>
  <c r="C160" i="219"/>
  <c r="C159" i="219"/>
  <c r="C158" i="219"/>
  <c r="C157" i="219"/>
  <c r="C156" i="219"/>
  <c r="C155" i="219"/>
  <c r="C154" i="219"/>
  <c r="C153" i="219"/>
  <c r="C152" i="219"/>
  <c r="C151" i="219"/>
  <c r="C150" i="219"/>
  <c r="C149" i="219"/>
  <c r="C148" i="219"/>
  <c r="C147" i="219"/>
  <c r="C146" i="219"/>
  <c r="C145" i="219"/>
  <c r="C144" i="219"/>
  <c r="C143" i="219"/>
  <c r="C142" i="219"/>
  <c r="C141" i="219"/>
  <c r="C140" i="219"/>
  <c r="C139" i="219"/>
  <c r="C138" i="219"/>
  <c r="C137" i="219"/>
  <c r="C136" i="219"/>
  <c r="C135" i="219"/>
  <c r="C134" i="219"/>
  <c r="C133" i="219"/>
  <c r="C132" i="219"/>
  <c r="C131" i="219"/>
  <c r="C130" i="219"/>
  <c r="C129" i="219"/>
  <c r="C128" i="219"/>
  <c r="C127" i="219"/>
  <c r="C126" i="219"/>
  <c r="C125" i="219"/>
  <c r="C124" i="219"/>
  <c r="C123" i="219"/>
  <c r="C122" i="219"/>
  <c r="C121" i="219"/>
  <c r="C120" i="219"/>
  <c r="C119" i="219"/>
  <c r="C118" i="219"/>
  <c r="C117" i="219"/>
  <c r="C116" i="219"/>
  <c r="C115" i="219"/>
  <c r="C114" i="219"/>
  <c r="C113" i="219"/>
  <c r="C112" i="219"/>
  <c r="C111" i="219"/>
  <c r="C110" i="219"/>
  <c r="C109" i="219"/>
  <c r="C108" i="219"/>
  <c r="C107" i="219"/>
  <c r="C106" i="219"/>
  <c r="C105" i="219"/>
  <c r="C104" i="219"/>
  <c r="C103" i="219"/>
  <c r="C102" i="219"/>
  <c r="C101" i="219"/>
  <c r="C100" i="219"/>
  <c r="C99" i="219"/>
  <c r="C98" i="219"/>
  <c r="C97" i="219"/>
  <c r="C96" i="219"/>
  <c r="C95" i="219"/>
  <c r="C94" i="219"/>
  <c r="C93" i="219"/>
  <c r="C92" i="219"/>
  <c r="C91" i="219"/>
  <c r="C90" i="219"/>
  <c r="C89" i="219"/>
  <c r="C88" i="219"/>
  <c r="C87" i="219"/>
  <c r="C86" i="219"/>
  <c r="C85" i="219"/>
  <c r="C84" i="219"/>
  <c r="C83" i="219"/>
  <c r="C82" i="219"/>
  <c r="C81" i="219"/>
  <c r="C80" i="219"/>
  <c r="C79" i="219"/>
  <c r="C78" i="219"/>
  <c r="C77" i="219"/>
  <c r="C76" i="219"/>
  <c r="C75" i="219"/>
  <c r="C74" i="219"/>
  <c r="C73" i="219"/>
  <c r="C72" i="219"/>
  <c r="C71" i="219"/>
  <c r="C70" i="219"/>
  <c r="C69" i="219"/>
  <c r="C68" i="219"/>
  <c r="C67" i="219"/>
  <c r="C66" i="219"/>
  <c r="C65" i="219"/>
  <c r="C64" i="219"/>
  <c r="C63" i="219"/>
  <c r="C62" i="219"/>
  <c r="C61" i="219"/>
  <c r="C60" i="219"/>
  <c r="C59" i="219"/>
  <c r="C58" i="219"/>
  <c r="C57" i="219"/>
  <c r="C56" i="219"/>
  <c r="C55" i="219"/>
  <c r="C54" i="219"/>
  <c r="C53" i="219"/>
  <c r="C52" i="219"/>
  <c r="C51" i="219"/>
  <c r="C50" i="219"/>
  <c r="C49" i="219"/>
  <c r="C48" i="219"/>
  <c r="C47" i="219"/>
  <c r="C46" i="219"/>
  <c r="C45" i="219"/>
  <c r="C44" i="219"/>
  <c r="C43" i="219"/>
  <c r="C42" i="219"/>
  <c r="C41" i="219"/>
  <c r="C40" i="219"/>
  <c r="C39" i="219"/>
  <c r="C38" i="219"/>
  <c r="C37" i="219"/>
  <c r="C36" i="219"/>
  <c r="C35" i="219"/>
  <c r="C34" i="219"/>
  <c r="C33" i="219"/>
  <c r="C32" i="219"/>
  <c r="C31" i="219"/>
  <c r="C30" i="219"/>
  <c r="C29" i="219"/>
  <c r="C28" i="219"/>
  <c r="C27" i="219"/>
  <c r="C26" i="219"/>
  <c r="C25" i="219"/>
  <c r="C24" i="219"/>
  <c r="C23" i="219"/>
  <c r="C22" i="219"/>
  <c r="C21" i="219"/>
  <c r="C20" i="219"/>
  <c r="C19" i="219"/>
  <c r="C18" i="219"/>
  <c r="C17" i="219"/>
  <c r="C16" i="219"/>
  <c r="C15" i="219"/>
  <c r="C14" i="219"/>
  <c r="C13" i="219"/>
  <c r="C12" i="219"/>
  <c r="C11" i="219"/>
  <c r="C10" i="219"/>
  <c r="C9" i="219"/>
  <c r="C8" i="219"/>
  <c r="C7" i="219"/>
  <c r="C6" i="219"/>
  <c r="C5" i="219"/>
  <c r="C4" i="219"/>
  <c r="C3" i="219"/>
  <c r="C2" i="219"/>
  <c r="C211" i="218"/>
  <c r="C210" i="218"/>
  <c r="C209" i="218"/>
  <c r="C208" i="218"/>
  <c r="C207" i="218"/>
  <c r="C206" i="218"/>
  <c r="C205" i="218"/>
  <c r="C204" i="218"/>
  <c r="C203" i="218"/>
  <c r="C202" i="218"/>
  <c r="C201" i="218"/>
  <c r="C200" i="218"/>
  <c r="C199" i="218"/>
  <c r="C198" i="218"/>
  <c r="C197" i="218"/>
  <c r="C196" i="218"/>
  <c r="C195" i="218"/>
  <c r="C194" i="218"/>
  <c r="C193" i="218"/>
  <c r="C192" i="218"/>
  <c r="C191" i="218"/>
  <c r="C190" i="218"/>
  <c r="C189" i="218"/>
  <c r="C188" i="218"/>
  <c r="C187" i="218"/>
  <c r="C186" i="218"/>
  <c r="C185" i="218"/>
  <c r="C184" i="218"/>
  <c r="C183" i="218"/>
  <c r="C182" i="218"/>
  <c r="C181" i="218"/>
  <c r="C180" i="218"/>
  <c r="C179" i="218"/>
  <c r="C178" i="218"/>
  <c r="C177" i="218"/>
  <c r="C176" i="218"/>
  <c r="C175" i="218"/>
  <c r="C174" i="218"/>
  <c r="C173" i="218"/>
  <c r="C172" i="218"/>
  <c r="C171" i="218"/>
  <c r="C170" i="218"/>
  <c r="C169" i="218"/>
  <c r="C168" i="218"/>
  <c r="C167" i="218"/>
  <c r="C166" i="218"/>
  <c r="C165" i="218"/>
  <c r="C164" i="218"/>
  <c r="C163" i="218"/>
  <c r="C162" i="218"/>
  <c r="C161" i="218"/>
  <c r="C160" i="218"/>
  <c r="C159" i="218"/>
  <c r="C158" i="218"/>
  <c r="C157" i="218"/>
  <c r="C156" i="218"/>
  <c r="C155" i="218"/>
  <c r="C154" i="218"/>
  <c r="C153" i="218"/>
  <c r="C152" i="218"/>
  <c r="C151" i="218"/>
  <c r="C150" i="218"/>
  <c r="C149" i="218"/>
  <c r="C148" i="218"/>
  <c r="C147" i="218"/>
  <c r="C146" i="218"/>
  <c r="C145" i="218"/>
  <c r="C144" i="218"/>
  <c r="C143" i="218"/>
  <c r="C142" i="218"/>
  <c r="C141" i="218"/>
  <c r="C140" i="218"/>
  <c r="C139" i="218"/>
  <c r="C138" i="218"/>
  <c r="C137" i="218"/>
  <c r="C136" i="218"/>
  <c r="C135" i="218"/>
  <c r="C134" i="218"/>
  <c r="C133" i="218"/>
  <c r="C132" i="218"/>
  <c r="C131" i="218"/>
  <c r="C130" i="218"/>
  <c r="C129" i="218"/>
  <c r="C128" i="218"/>
  <c r="C127" i="218"/>
  <c r="C126" i="218"/>
  <c r="C125" i="218"/>
  <c r="C124" i="218"/>
  <c r="C123" i="218"/>
  <c r="C122" i="218"/>
  <c r="C121" i="218"/>
  <c r="C120" i="218"/>
  <c r="C119" i="218"/>
  <c r="C118" i="218"/>
  <c r="C117" i="218"/>
  <c r="C116" i="218"/>
  <c r="C115" i="218"/>
  <c r="C114" i="218"/>
  <c r="C113" i="218"/>
  <c r="C112" i="218"/>
  <c r="C111" i="218"/>
  <c r="C110" i="218"/>
  <c r="C109" i="218"/>
  <c r="C108" i="218"/>
  <c r="C107" i="218"/>
  <c r="C106" i="218"/>
  <c r="C105" i="218"/>
  <c r="C104" i="218"/>
  <c r="C103" i="218"/>
  <c r="C102" i="218"/>
  <c r="C101" i="218"/>
  <c r="C100" i="218"/>
  <c r="C99" i="218"/>
  <c r="C98" i="218"/>
  <c r="C97" i="218"/>
  <c r="C96" i="218"/>
  <c r="C95" i="218"/>
  <c r="C94" i="218"/>
  <c r="C93" i="218"/>
  <c r="C92" i="218"/>
  <c r="C91" i="218"/>
  <c r="C90" i="218"/>
  <c r="C89" i="218"/>
  <c r="C88" i="218"/>
  <c r="C87" i="218"/>
  <c r="C86" i="218"/>
  <c r="C85" i="218"/>
  <c r="C84" i="218"/>
  <c r="C83" i="218"/>
  <c r="C82" i="218"/>
  <c r="C81" i="218"/>
  <c r="C80" i="218"/>
  <c r="C79" i="218"/>
  <c r="C78" i="218"/>
  <c r="C77" i="218"/>
  <c r="C76" i="218"/>
  <c r="C75" i="218"/>
  <c r="C74" i="218"/>
  <c r="C73" i="218"/>
  <c r="C72" i="218"/>
  <c r="C71" i="218"/>
  <c r="C70" i="218"/>
  <c r="C69" i="218"/>
  <c r="C68" i="218"/>
  <c r="C67" i="218"/>
  <c r="C66" i="218"/>
  <c r="C65" i="218"/>
  <c r="C64" i="218"/>
  <c r="C63" i="218"/>
  <c r="C62" i="218"/>
  <c r="C61" i="218"/>
  <c r="C60" i="218"/>
  <c r="C59" i="218"/>
  <c r="C58" i="218"/>
  <c r="C57" i="218"/>
  <c r="C56" i="218"/>
  <c r="C55" i="218"/>
  <c r="C54" i="218"/>
  <c r="C53" i="218"/>
  <c r="C52" i="218"/>
  <c r="C51" i="218"/>
  <c r="C50" i="218"/>
  <c r="C49" i="218"/>
  <c r="C48" i="218"/>
  <c r="C47" i="218"/>
  <c r="C46" i="218"/>
  <c r="C45" i="218"/>
  <c r="C44" i="218"/>
  <c r="C43" i="218"/>
  <c r="C42" i="218"/>
  <c r="C41" i="218"/>
  <c r="C40" i="218"/>
  <c r="C39" i="218"/>
  <c r="C38" i="218"/>
  <c r="C37" i="218"/>
  <c r="C36" i="218"/>
  <c r="C35" i="218"/>
  <c r="C34" i="218"/>
  <c r="C33" i="218"/>
  <c r="C32" i="218"/>
  <c r="C31" i="218"/>
  <c r="C30" i="218"/>
  <c r="C29" i="218"/>
  <c r="C28" i="218"/>
  <c r="C27" i="218"/>
  <c r="C26" i="218"/>
  <c r="C25" i="218"/>
  <c r="C24" i="218"/>
  <c r="C23" i="218"/>
  <c r="C22" i="218"/>
  <c r="C21" i="218"/>
  <c r="C20" i="218"/>
  <c r="C19" i="218"/>
  <c r="C18" i="218"/>
  <c r="C17" i="218"/>
  <c r="C16" i="218"/>
  <c r="C15" i="218"/>
  <c r="C14" i="218"/>
  <c r="C13" i="218"/>
  <c r="C12" i="218"/>
  <c r="C11" i="218"/>
  <c r="C10" i="218"/>
  <c r="C9" i="218"/>
  <c r="C8" i="218"/>
  <c r="C7" i="218"/>
  <c r="C6" i="218"/>
  <c r="C5" i="218"/>
  <c r="C4" i="218"/>
  <c r="C3" i="218"/>
  <c r="C2" i="218"/>
  <c r="C211" i="217"/>
  <c r="C210" i="217"/>
  <c r="C209" i="217"/>
  <c r="C208" i="217"/>
  <c r="C207" i="217"/>
  <c r="C206" i="217"/>
  <c r="C205" i="217"/>
  <c r="C204" i="217"/>
  <c r="C203" i="217"/>
  <c r="C202" i="217"/>
  <c r="C201" i="217"/>
  <c r="C200" i="217"/>
  <c r="C199" i="217"/>
  <c r="C198" i="217"/>
  <c r="C197" i="217"/>
  <c r="C196" i="217"/>
  <c r="C195" i="217"/>
  <c r="C194" i="217"/>
  <c r="C193" i="217"/>
  <c r="C192" i="217"/>
  <c r="C191" i="217"/>
  <c r="C190" i="217"/>
  <c r="C189" i="217"/>
  <c r="C188" i="217"/>
  <c r="C187" i="217"/>
  <c r="C186" i="217"/>
  <c r="C185" i="217"/>
  <c r="C184" i="217"/>
  <c r="C183" i="217"/>
  <c r="C182" i="217"/>
  <c r="C181" i="217"/>
  <c r="C180" i="217"/>
  <c r="C179" i="217"/>
  <c r="C178" i="217"/>
  <c r="C177" i="217"/>
  <c r="C176" i="217"/>
  <c r="C175" i="217"/>
  <c r="C174" i="217"/>
  <c r="C173" i="217"/>
  <c r="C172" i="217"/>
  <c r="C171" i="217"/>
  <c r="C170" i="217"/>
  <c r="C169" i="217"/>
  <c r="C168" i="217"/>
  <c r="C167" i="217"/>
  <c r="C166" i="217"/>
  <c r="C165" i="217"/>
  <c r="C164" i="217"/>
  <c r="C163" i="217"/>
  <c r="C162" i="217"/>
  <c r="C161" i="217"/>
  <c r="C160" i="217"/>
  <c r="C159" i="217"/>
  <c r="C158" i="217"/>
  <c r="C157" i="217"/>
  <c r="C156" i="217"/>
  <c r="C155" i="217"/>
  <c r="C154" i="217"/>
  <c r="C153" i="217"/>
  <c r="C152" i="217"/>
  <c r="C151" i="217"/>
  <c r="C150" i="217"/>
  <c r="C149" i="217"/>
  <c r="C148" i="217"/>
  <c r="C147" i="217"/>
  <c r="C146" i="217"/>
  <c r="C145" i="217"/>
  <c r="C144" i="217"/>
  <c r="C143" i="217"/>
  <c r="C142" i="217"/>
  <c r="C141" i="217"/>
  <c r="C140" i="217"/>
  <c r="C139" i="217"/>
  <c r="C138" i="217"/>
  <c r="C137" i="217"/>
  <c r="C136" i="217"/>
  <c r="C135" i="217"/>
  <c r="C134" i="217"/>
  <c r="C133" i="217"/>
  <c r="C132" i="217"/>
  <c r="C131" i="217"/>
  <c r="C130" i="217"/>
  <c r="C129" i="217"/>
  <c r="C128" i="217"/>
  <c r="C127" i="217"/>
  <c r="C126" i="217"/>
  <c r="C125" i="217"/>
  <c r="C124" i="217"/>
  <c r="C123" i="217"/>
  <c r="C122" i="217"/>
  <c r="C121" i="217"/>
  <c r="C120" i="217"/>
  <c r="C119" i="217"/>
  <c r="C118" i="217"/>
  <c r="C117" i="217"/>
  <c r="C116" i="217"/>
  <c r="C115" i="217"/>
  <c r="C114" i="217"/>
  <c r="C113" i="217"/>
  <c r="C112" i="217"/>
  <c r="C111" i="217"/>
  <c r="C110" i="217"/>
  <c r="C109" i="217"/>
  <c r="C108" i="217"/>
  <c r="C107" i="217"/>
  <c r="C106" i="217"/>
  <c r="C105" i="217"/>
  <c r="C104" i="217"/>
  <c r="C103" i="217"/>
  <c r="C102" i="217"/>
  <c r="C101" i="217"/>
  <c r="C100" i="217"/>
  <c r="C99" i="217"/>
  <c r="C98" i="217"/>
  <c r="C97" i="217"/>
  <c r="C96" i="217"/>
  <c r="C95" i="217"/>
  <c r="C94" i="217"/>
  <c r="C93" i="217"/>
  <c r="C92" i="217"/>
  <c r="C91" i="217"/>
  <c r="C90" i="217"/>
  <c r="C89" i="217"/>
  <c r="C88" i="217"/>
  <c r="C87" i="217"/>
  <c r="C86" i="217"/>
  <c r="C85" i="217"/>
  <c r="C84" i="217"/>
  <c r="C83" i="217"/>
  <c r="C82" i="217"/>
  <c r="C81" i="217"/>
  <c r="C80" i="217"/>
  <c r="C79" i="217"/>
  <c r="C78" i="217"/>
  <c r="C77" i="217"/>
  <c r="C76" i="217"/>
  <c r="C75" i="217"/>
  <c r="C74" i="217"/>
  <c r="C73" i="217"/>
  <c r="C72" i="217"/>
  <c r="C71" i="217"/>
  <c r="C70" i="217"/>
  <c r="C69" i="217"/>
  <c r="C68" i="217"/>
  <c r="C67" i="217"/>
  <c r="C66" i="217"/>
  <c r="C65" i="217"/>
  <c r="C64" i="217"/>
  <c r="C63" i="217"/>
  <c r="C62" i="217"/>
  <c r="C61" i="217"/>
  <c r="C60" i="217"/>
  <c r="C59" i="217"/>
  <c r="C58" i="217"/>
  <c r="C57" i="217"/>
  <c r="C56" i="217"/>
  <c r="C55" i="217"/>
  <c r="C54" i="217"/>
  <c r="C53" i="217"/>
  <c r="C52" i="217"/>
  <c r="C51" i="217"/>
  <c r="C50" i="217"/>
  <c r="C49" i="217"/>
  <c r="C48" i="217"/>
  <c r="C47" i="217"/>
  <c r="C46" i="217"/>
  <c r="C45" i="217"/>
  <c r="C44" i="217"/>
  <c r="C43" i="217"/>
  <c r="C42" i="217"/>
  <c r="C41" i="217"/>
  <c r="C40" i="217"/>
  <c r="C39" i="217"/>
  <c r="C38" i="217"/>
  <c r="C37" i="217"/>
  <c r="C36" i="217"/>
  <c r="C35" i="217"/>
  <c r="C34" i="217"/>
  <c r="C33" i="217"/>
  <c r="C32" i="217"/>
  <c r="C31" i="217"/>
  <c r="C30" i="217"/>
  <c r="C29" i="217"/>
  <c r="C28" i="217"/>
  <c r="C27" i="217"/>
  <c r="C26" i="217"/>
  <c r="C25" i="217"/>
  <c r="C24" i="217"/>
  <c r="C23" i="217"/>
  <c r="C22" i="217"/>
  <c r="C21" i="217"/>
  <c r="C20" i="217"/>
  <c r="C19" i="217"/>
  <c r="C18" i="217"/>
  <c r="C17" i="217"/>
  <c r="C16" i="217"/>
  <c r="C15" i="217"/>
  <c r="C14" i="217"/>
  <c r="C13" i="217"/>
  <c r="C12" i="217"/>
  <c r="C11" i="217"/>
  <c r="C10" i="217"/>
  <c r="C9" i="217"/>
  <c r="C8" i="217"/>
  <c r="C7" i="217"/>
  <c r="C6" i="217"/>
  <c r="C5" i="217"/>
  <c r="C4" i="217"/>
  <c r="C3" i="217"/>
  <c r="C2" i="217"/>
  <c r="C211" i="216"/>
  <c r="C210" i="216"/>
  <c r="C209" i="216"/>
  <c r="C208" i="216"/>
  <c r="C207" i="216"/>
  <c r="C206" i="216"/>
  <c r="C205" i="216"/>
  <c r="C204" i="216"/>
  <c r="C203" i="216"/>
  <c r="C202" i="216"/>
  <c r="C201" i="216"/>
  <c r="C200" i="216"/>
  <c r="C199" i="216"/>
  <c r="C198" i="216"/>
  <c r="C197" i="216"/>
  <c r="C196" i="216"/>
  <c r="C195" i="216"/>
  <c r="C194" i="216"/>
  <c r="C193" i="216"/>
  <c r="C192" i="216"/>
  <c r="C191" i="216"/>
  <c r="C190" i="216"/>
  <c r="C189" i="216"/>
  <c r="C188" i="216"/>
  <c r="C187" i="216"/>
  <c r="C186" i="216"/>
  <c r="C185" i="216"/>
  <c r="C184" i="216"/>
  <c r="C183" i="216"/>
  <c r="C182" i="216"/>
  <c r="C181" i="216"/>
  <c r="C180" i="216"/>
  <c r="C179" i="216"/>
  <c r="C178" i="216"/>
  <c r="C177" i="216"/>
  <c r="C176" i="216"/>
  <c r="C175" i="216"/>
  <c r="C174" i="216"/>
  <c r="C173" i="216"/>
  <c r="C172" i="216"/>
  <c r="C171" i="216"/>
  <c r="C170" i="216"/>
  <c r="C169" i="216"/>
  <c r="C168" i="216"/>
  <c r="C167" i="216"/>
  <c r="C166" i="216"/>
  <c r="C165" i="216"/>
  <c r="C164" i="216"/>
  <c r="C163" i="216"/>
  <c r="C162" i="216"/>
  <c r="C161" i="216"/>
  <c r="C160" i="216"/>
  <c r="C159" i="216"/>
  <c r="C158" i="216"/>
  <c r="C157" i="216"/>
  <c r="C156" i="216"/>
  <c r="C155" i="216"/>
  <c r="C154" i="216"/>
  <c r="C153" i="216"/>
  <c r="C152" i="216"/>
  <c r="C151" i="216"/>
  <c r="C150" i="216"/>
  <c r="C149" i="216"/>
  <c r="C148" i="216"/>
  <c r="C147" i="216"/>
  <c r="C146" i="216"/>
  <c r="C145" i="216"/>
  <c r="C144" i="216"/>
  <c r="C143" i="216"/>
  <c r="C142" i="216"/>
  <c r="C141" i="216"/>
  <c r="C140" i="216"/>
  <c r="C139" i="216"/>
  <c r="C138" i="216"/>
  <c r="C137" i="216"/>
  <c r="C136" i="216"/>
  <c r="C135" i="216"/>
  <c r="C134" i="216"/>
  <c r="C133" i="216"/>
  <c r="C132" i="216"/>
  <c r="C131" i="216"/>
  <c r="C130" i="216"/>
  <c r="C129" i="216"/>
  <c r="C128" i="216"/>
  <c r="C127" i="216"/>
  <c r="C126" i="216"/>
  <c r="C125" i="216"/>
  <c r="C124" i="216"/>
  <c r="C123" i="216"/>
  <c r="C122" i="216"/>
  <c r="C121" i="216"/>
  <c r="C120" i="216"/>
  <c r="C119" i="216"/>
  <c r="C118" i="216"/>
  <c r="C117" i="216"/>
  <c r="C116" i="216"/>
  <c r="C115" i="216"/>
  <c r="C114" i="216"/>
  <c r="C113" i="216"/>
  <c r="C112" i="216"/>
  <c r="C111" i="216"/>
  <c r="C110" i="216"/>
  <c r="C109" i="216"/>
  <c r="C108" i="216"/>
  <c r="C107" i="216"/>
  <c r="C106" i="216"/>
  <c r="C105" i="216"/>
  <c r="C104" i="216"/>
  <c r="C103" i="216"/>
  <c r="C102" i="216"/>
  <c r="C101" i="216"/>
  <c r="C100" i="216"/>
  <c r="C99" i="216"/>
  <c r="C98" i="216"/>
  <c r="C97" i="216"/>
  <c r="C96" i="216"/>
  <c r="C95" i="216"/>
  <c r="C94" i="216"/>
  <c r="C93" i="216"/>
  <c r="C92" i="216"/>
  <c r="C91" i="216"/>
  <c r="C90" i="216"/>
  <c r="C89" i="216"/>
  <c r="C88" i="216"/>
  <c r="C87" i="216"/>
  <c r="C86" i="216"/>
  <c r="C85" i="216"/>
  <c r="C84" i="216"/>
  <c r="C83" i="216"/>
  <c r="C82" i="216"/>
  <c r="C81" i="216"/>
  <c r="C80" i="216"/>
  <c r="C79" i="216"/>
  <c r="C78" i="216"/>
  <c r="C77" i="216"/>
  <c r="C76" i="216"/>
  <c r="C75" i="216"/>
  <c r="C74" i="216"/>
  <c r="C73" i="216"/>
  <c r="C72" i="216"/>
  <c r="C71" i="216"/>
  <c r="C70" i="216"/>
  <c r="C69" i="216"/>
  <c r="C68" i="216"/>
  <c r="C67" i="216"/>
  <c r="C66" i="216"/>
  <c r="C65" i="216"/>
  <c r="C64" i="216"/>
  <c r="C63" i="216"/>
  <c r="C62" i="216"/>
  <c r="C61" i="216"/>
  <c r="C60" i="216"/>
  <c r="C59" i="216"/>
  <c r="C58" i="216"/>
  <c r="C57" i="216"/>
  <c r="C56" i="216"/>
  <c r="C55" i="216"/>
  <c r="C54" i="216"/>
  <c r="C53" i="216"/>
  <c r="C52" i="216"/>
  <c r="C51" i="216"/>
  <c r="C50" i="216"/>
  <c r="C49" i="216"/>
  <c r="C48" i="216"/>
  <c r="C47" i="216"/>
  <c r="C46" i="216"/>
  <c r="C45" i="216"/>
  <c r="C44" i="216"/>
  <c r="C43" i="216"/>
  <c r="C42" i="216"/>
  <c r="C41" i="216"/>
  <c r="C40" i="216"/>
  <c r="C39" i="216"/>
  <c r="C38" i="216"/>
  <c r="C37" i="216"/>
  <c r="C36" i="216"/>
  <c r="C35" i="216"/>
  <c r="C34" i="216"/>
  <c r="C33" i="216"/>
  <c r="C32" i="216"/>
  <c r="C31" i="216"/>
  <c r="C30" i="216"/>
  <c r="C29" i="216"/>
  <c r="C28" i="216"/>
  <c r="C27" i="216"/>
  <c r="C26" i="216"/>
  <c r="C25" i="216"/>
  <c r="C24" i="216"/>
  <c r="C23" i="216"/>
  <c r="C22" i="216"/>
  <c r="C21" i="216"/>
  <c r="C20" i="216"/>
  <c r="C19" i="216"/>
  <c r="C18" i="216"/>
  <c r="C17" i="216"/>
  <c r="C16" i="216"/>
  <c r="C15" i="216"/>
  <c r="C14" i="216"/>
  <c r="C13" i="216"/>
  <c r="C12" i="216"/>
  <c r="C11" i="216"/>
  <c r="C10" i="216"/>
  <c r="C9" i="216"/>
  <c r="C8" i="216"/>
  <c r="C7" i="216"/>
  <c r="C6" i="216"/>
  <c r="C5" i="216"/>
  <c r="C4" i="216"/>
  <c r="C3" i="216"/>
  <c r="C2" i="216"/>
  <c r="D16" i="215"/>
  <c r="F16" i="215" s="1"/>
  <c r="D16" i="216" s="1"/>
  <c r="F16" i="216" s="1"/>
  <c r="D16" i="217" s="1"/>
  <c r="F16" i="217" s="1"/>
  <c r="D16" i="218" s="1"/>
  <c r="F16" i="218" s="1"/>
  <c r="D16" i="219" s="1"/>
  <c r="F16" i="219" s="1"/>
  <c r="D39" i="215"/>
  <c r="F39" i="215" s="1"/>
  <c r="D39" i="216" s="1"/>
  <c r="F39" i="216" s="1"/>
  <c r="D39" i="217" s="1"/>
  <c r="F39" i="217" s="1"/>
  <c r="D39" i="218" s="1"/>
  <c r="F39" i="218" s="1"/>
  <c r="D39" i="219" s="1"/>
  <c r="F39" i="219" s="1"/>
  <c r="D80" i="215"/>
  <c r="F80" i="215" s="1"/>
  <c r="D80" i="216" s="1"/>
  <c r="F80" i="216" s="1"/>
  <c r="D80" i="217" s="1"/>
  <c r="F80" i="217" s="1"/>
  <c r="D80" i="218" s="1"/>
  <c r="F80" i="218" s="1"/>
  <c r="D80" i="219" s="1"/>
  <c r="F80" i="219" s="1"/>
  <c r="D103" i="215"/>
  <c r="F103" i="215" s="1"/>
  <c r="D103" i="216" s="1"/>
  <c r="F103" i="216" s="1"/>
  <c r="D103" i="217" s="1"/>
  <c r="F103" i="217" s="1"/>
  <c r="D103" i="218" s="1"/>
  <c r="F103" i="218" s="1"/>
  <c r="D103" i="219" s="1"/>
  <c r="F103" i="219" s="1"/>
  <c r="D121" i="215"/>
  <c r="F121" i="215" s="1"/>
  <c r="D121" i="216" s="1"/>
  <c r="F121" i="216" s="1"/>
  <c r="D121" i="217" s="1"/>
  <c r="F121" i="217" s="1"/>
  <c r="D121" i="218" s="1"/>
  <c r="F121" i="218" s="1"/>
  <c r="D121" i="219" s="1"/>
  <c r="F121" i="219" s="1"/>
  <c r="D137" i="215"/>
  <c r="F137" i="215" s="1"/>
  <c r="D137" i="216" s="1"/>
  <c r="F137" i="216" s="1"/>
  <c r="D137" i="217" s="1"/>
  <c r="F137" i="217" s="1"/>
  <c r="D137" i="218" s="1"/>
  <c r="F137" i="218" s="1"/>
  <c r="D137" i="219" s="1"/>
  <c r="F137" i="219" s="1"/>
  <c r="D153" i="215"/>
  <c r="F153" i="215" s="1"/>
  <c r="D153" i="216" s="1"/>
  <c r="F153" i="216" s="1"/>
  <c r="D153" i="217" s="1"/>
  <c r="F153" i="217" s="1"/>
  <c r="D153" i="218" s="1"/>
  <c r="F153" i="218" s="1"/>
  <c r="D153" i="219" s="1"/>
  <c r="F153" i="219" s="1"/>
  <c r="D167" i="215"/>
  <c r="F167" i="215" s="1"/>
  <c r="D167" i="216" s="1"/>
  <c r="F167" i="216" s="1"/>
  <c r="D167" i="217" s="1"/>
  <c r="F167" i="217" s="1"/>
  <c r="D167" i="218" s="1"/>
  <c r="F167" i="218" s="1"/>
  <c r="D167" i="219" s="1"/>
  <c r="F167" i="219" s="1"/>
  <c r="D191" i="215"/>
  <c r="F191" i="215" s="1"/>
  <c r="D191" i="216" s="1"/>
  <c r="F191" i="216" s="1"/>
  <c r="D191" i="217" s="1"/>
  <c r="F191" i="217" s="1"/>
  <c r="D191" i="218" s="1"/>
  <c r="F191" i="218" s="1"/>
  <c r="D191" i="219" s="1"/>
  <c r="F191" i="219" s="1"/>
  <c r="D201" i="215"/>
  <c r="F201" i="215" s="1"/>
  <c r="D201" i="216" s="1"/>
  <c r="F201" i="216" s="1"/>
  <c r="D201" i="217" s="1"/>
  <c r="F201" i="217" s="1"/>
  <c r="D201" i="218" s="1"/>
  <c r="F201" i="218" s="1"/>
  <c r="D201" i="219" s="1"/>
  <c r="F201" i="219" s="1"/>
  <c r="C211" i="215"/>
  <c r="C210" i="215"/>
  <c r="C209" i="215"/>
  <c r="C208" i="215"/>
  <c r="C207" i="215"/>
  <c r="C206" i="215"/>
  <c r="C205" i="215"/>
  <c r="C204" i="215"/>
  <c r="C203" i="215"/>
  <c r="C202" i="215"/>
  <c r="C201" i="215"/>
  <c r="C200" i="215"/>
  <c r="C199" i="215"/>
  <c r="C198" i="215"/>
  <c r="C197" i="215"/>
  <c r="C196" i="215"/>
  <c r="C195" i="215"/>
  <c r="C194" i="215"/>
  <c r="C193" i="215"/>
  <c r="C192" i="215"/>
  <c r="C191" i="215"/>
  <c r="C190" i="215"/>
  <c r="C189" i="215"/>
  <c r="C188" i="215"/>
  <c r="C187" i="215"/>
  <c r="C186" i="215"/>
  <c r="C185" i="215"/>
  <c r="C184" i="215"/>
  <c r="C183" i="215"/>
  <c r="C182" i="215"/>
  <c r="C181" i="215"/>
  <c r="C180" i="215"/>
  <c r="C179" i="215"/>
  <c r="C178" i="215"/>
  <c r="C177" i="215"/>
  <c r="C176" i="215"/>
  <c r="C175" i="215"/>
  <c r="C174" i="215"/>
  <c r="C173" i="215"/>
  <c r="C172" i="215"/>
  <c r="C171" i="215"/>
  <c r="C170" i="215"/>
  <c r="C169" i="215"/>
  <c r="C168" i="215"/>
  <c r="C167" i="215"/>
  <c r="C166" i="215"/>
  <c r="C165" i="215"/>
  <c r="C164" i="215"/>
  <c r="C163" i="215"/>
  <c r="C162" i="215"/>
  <c r="C161" i="215"/>
  <c r="C160" i="215"/>
  <c r="C159" i="215"/>
  <c r="C158" i="215"/>
  <c r="C157" i="215"/>
  <c r="F156" i="215"/>
  <c r="D156" i="216" s="1"/>
  <c r="F156" i="216" s="1"/>
  <c r="D156" i="217" s="1"/>
  <c r="F156" i="217" s="1"/>
  <c r="D156" i="218" s="1"/>
  <c r="F156" i="218" s="1"/>
  <c r="D156" i="219" s="1"/>
  <c r="F156" i="219" s="1"/>
  <c r="C156" i="215"/>
  <c r="C155" i="215"/>
  <c r="C154" i="215"/>
  <c r="C153" i="215"/>
  <c r="C152" i="215"/>
  <c r="C151" i="215"/>
  <c r="C150" i="215"/>
  <c r="C149" i="215"/>
  <c r="C148" i="215"/>
  <c r="C147" i="215"/>
  <c r="C146" i="215"/>
  <c r="C145" i="215"/>
  <c r="C144" i="215"/>
  <c r="C143" i="215"/>
  <c r="C142" i="215"/>
  <c r="C141" i="215"/>
  <c r="C140" i="215"/>
  <c r="C139" i="215"/>
  <c r="C138" i="215"/>
  <c r="C137" i="215"/>
  <c r="C136" i="215"/>
  <c r="C135" i="215"/>
  <c r="C134" i="215"/>
  <c r="C133" i="215"/>
  <c r="C132" i="215"/>
  <c r="C131" i="215"/>
  <c r="C130" i="215"/>
  <c r="C129" i="215"/>
  <c r="C128" i="215"/>
  <c r="C127" i="215"/>
  <c r="C126" i="215"/>
  <c r="C125" i="215"/>
  <c r="F124" i="215"/>
  <c r="D124" i="216" s="1"/>
  <c r="F124" i="216" s="1"/>
  <c r="D124" i="217" s="1"/>
  <c r="F124" i="217" s="1"/>
  <c r="D124" i="218" s="1"/>
  <c r="F124" i="218" s="1"/>
  <c r="D124" i="219" s="1"/>
  <c r="F124" i="219" s="1"/>
  <c r="C124" i="215"/>
  <c r="C123" i="215"/>
  <c r="C122" i="215"/>
  <c r="C121" i="215"/>
  <c r="C120" i="215"/>
  <c r="C119" i="215"/>
  <c r="C118" i="215"/>
  <c r="C117" i="215"/>
  <c r="C116" i="215"/>
  <c r="C115" i="215"/>
  <c r="C114" i="215"/>
  <c r="C113" i="215"/>
  <c r="C112" i="215"/>
  <c r="C111" i="215"/>
  <c r="C110" i="215"/>
  <c r="C109" i="215"/>
  <c r="C108" i="215"/>
  <c r="C107" i="215"/>
  <c r="C106" i="215"/>
  <c r="C105" i="215"/>
  <c r="C104" i="215"/>
  <c r="C103" i="215"/>
  <c r="C102" i="215"/>
  <c r="F101" i="215"/>
  <c r="D101" i="216" s="1"/>
  <c r="F101" i="216" s="1"/>
  <c r="D101" i="217" s="1"/>
  <c r="F101" i="217" s="1"/>
  <c r="D101" i="218" s="1"/>
  <c r="F101" i="218" s="1"/>
  <c r="D101" i="219" s="1"/>
  <c r="F101" i="219" s="1"/>
  <c r="C101" i="215"/>
  <c r="C100" i="215"/>
  <c r="C99" i="215"/>
  <c r="C98" i="215"/>
  <c r="C97" i="215"/>
  <c r="C96" i="215"/>
  <c r="C95" i="215"/>
  <c r="C94" i="215"/>
  <c r="C93" i="215"/>
  <c r="F92" i="215"/>
  <c r="D92" i="216" s="1"/>
  <c r="F92" i="216" s="1"/>
  <c r="D92" i="217" s="1"/>
  <c r="F92" i="217" s="1"/>
  <c r="D92" i="218" s="1"/>
  <c r="F92" i="218" s="1"/>
  <c r="D92" i="219" s="1"/>
  <c r="F92" i="219" s="1"/>
  <c r="C92" i="215"/>
  <c r="C91" i="215"/>
  <c r="C90" i="215"/>
  <c r="C89" i="215"/>
  <c r="C88" i="215"/>
  <c r="C87" i="215"/>
  <c r="C86" i="215"/>
  <c r="C85" i="215"/>
  <c r="C84" i="215"/>
  <c r="C83" i="215"/>
  <c r="C82" i="215"/>
  <c r="C81" i="215"/>
  <c r="C80" i="215"/>
  <c r="C79" i="215"/>
  <c r="C78" i="215"/>
  <c r="C77" i="215"/>
  <c r="C76" i="215"/>
  <c r="C75" i="215"/>
  <c r="C74" i="215"/>
  <c r="C73" i="215"/>
  <c r="C72" i="215"/>
  <c r="C71" i="215"/>
  <c r="C70" i="215"/>
  <c r="F69" i="215"/>
  <c r="D69" i="216" s="1"/>
  <c r="F69" i="216" s="1"/>
  <c r="D69" i="217" s="1"/>
  <c r="F69" i="217" s="1"/>
  <c r="D69" i="218" s="1"/>
  <c r="F69" i="218" s="1"/>
  <c r="D69" i="219" s="1"/>
  <c r="F69" i="219" s="1"/>
  <c r="C69" i="215"/>
  <c r="C68" i="215"/>
  <c r="C67" i="215"/>
  <c r="C66" i="215"/>
  <c r="C65" i="215"/>
  <c r="C64" i="215"/>
  <c r="C63" i="215"/>
  <c r="C62" i="215"/>
  <c r="C61" i="215"/>
  <c r="F60" i="215"/>
  <c r="D60" i="216" s="1"/>
  <c r="F60" i="216" s="1"/>
  <c r="D60" i="217" s="1"/>
  <c r="F60" i="217" s="1"/>
  <c r="D60" i="218" s="1"/>
  <c r="F60" i="218" s="1"/>
  <c r="D60" i="219" s="1"/>
  <c r="F60" i="219" s="1"/>
  <c r="C60" i="215"/>
  <c r="C59" i="215"/>
  <c r="C58" i="215"/>
  <c r="C57" i="215"/>
  <c r="C56" i="215"/>
  <c r="C55" i="215"/>
  <c r="C54" i="215"/>
  <c r="C53" i="215"/>
  <c r="C52" i="215"/>
  <c r="C51" i="215"/>
  <c r="C50" i="215"/>
  <c r="C49" i="215"/>
  <c r="C48" i="215"/>
  <c r="C47" i="215"/>
  <c r="C46" i="215"/>
  <c r="C45" i="215"/>
  <c r="C44" i="215"/>
  <c r="C43" i="215"/>
  <c r="C42" i="215"/>
  <c r="C41" i="215"/>
  <c r="C40" i="215"/>
  <c r="C39" i="215"/>
  <c r="C38" i="215"/>
  <c r="F37" i="215"/>
  <c r="D37" i="216" s="1"/>
  <c r="F37" i="216" s="1"/>
  <c r="D37" i="217" s="1"/>
  <c r="F37" i="217" s="1"/>
  <c r="D37" i="218" s="1"/>
  <c r="F37" i="218" s="1"/>
  <c r="D37" i="219" s="1"/>
  <c r="F37" i="219" s="1"/>
  <c r="C37" i="215"/>
  <c r="C36" i="215"/>
  <c r="C35" i="215"/>
  <c r="C34" i="215"/>
  <c r="C33" i="215"/>
  <c r="C32" i="215"/>
  <c r="C31" i="215"/>
  <c r="C30" i="215"/>
  <c r="C29" i="215"/>
  <c r="C28" i="215"/>
  <c r="C27" i="215"/>
  <c r="C26" i="215"/>
  <c r="C25" i="215"/>
  <c r="C24" i="215"/>
  <c r="C23" i="215"/>
  <c r="C22" i="215"/>
  <c r="C21" i="215"/>
  <c r="C20" i="215"/>
  <c r="C19" i="215"/>
  <c r="C18" i="215"/>
  <c r="C17" i="215"/>
  <c r="C16" i="215"/>
  <c r="C15" i="215"/>
  <c r="C14" i="215"/>
  <c r="C13" i="215"/>
  <c r="C12" i="215"/>
  <c r="C11" i="215"/>
  <c r="C10" i="215"/>
  <c r="C9" i="215"/>
  <c r="C8" i="215"/>
  <c r="C7" i="215"/>
  <c r="C6" i="215"/>
  <c r="C5" i="215"/>
  <c r="C4" i="215"/>
  <c r="C3" i="215"/>
  <c r="C2" i="215"/>
  <c r="D2" i="214"/>
  <c r="D3" i="214"/>
  <c r="F3" i="214" s="1"/>
  <c r="D3" i="215" s="1"/>
  <c r="F3" i="215" s="1"/>
  <c r="D3" i="216" s="1"/>
  <c r="F3" i="216" s="1"/>
  <c r="D3" i="217" s="1"/>
  <c r="F3" i="217" s="1"/>
  <c r="D3" i="218" s="1"/>
  <c r="F3" i="218" s="1"/>
  <c r="D3" i="219" s="1"/>
  <c r="F3" i="219" s="1"/>
  <c r="D4" i="214"/>
  <c r="D5" i="214"/>
  <c r="D6" i="214"/>
  <c r="D7" i="214"/>
  <c r="D8" i="214"/>
  <c r="D9" i="214"/>
  <c r="D10" i="214"/>
  <c r="D11" i="214"/>
  <c r="F11" i="214" s="1"/>
  <c r="D11" i="215" s="1"/>
  <c r="F11" i="215" s="1"/>
  <c r="D11" i="216" s="1"/>
  <c r="F11" i="216" s="1"/>
  <c r="D11" i="217" s="1"/>
  <c r="F11" i="217" s="1"/>
  <c r="D11" i="218" s="1"/>
  <c r="F11" i="218" s="1"/>
  <c r="D11" i="219" s="1"/>
  <c r="F11" i="219" s="1"/>
  <c r="D12" i="214"/>
  <c r="D13" i="214"/>
  <c r="D14" i="214"/>
  <c r="D15" i="214"/>
  <c r="D16" i="214"/>
  <c r="D17" i="214"/>
  <c r="D18" i="214"/>
  <c r="D19" i="214"/>
  <c r="F19" i="214" s="1"/>
  <c r="D19" i="215" s="1"/>
  <c r="F19" i="215" s="1"/>
  <c r="D19" i="216" s="1"/>
  <c r="F19" i="216" s="1"/>
  <c r="D19" i="217" s="1"/>
  <c r="F19" i="217" s="1"/>
  <c r="D19" i="218" s="1"/>
  <c r="F19" i="218" s="1"/>
  <c r="D19" i="219" s="1"/>
  <c r="F19" i="219" s="1"/>
  <c r="D20" i="214"/>
  <c r="D21" i="214"/>
  <c r="D22" i="214"/>
  <c r="D23" i="214"/>
  <c r="D24" i="214"/>
  <c r="D25" i="214"/>
  <c r="D26" i="214"/>
  <c r="D27" i="214"/>
  <c r="F27" i="214" s="1"/>
  <c r="D27" i="215" s="1"/>
  <c r="F27" i="215" s="1"/>
  <c r="D27" i="216" s="1"/>
  <c r="F27" i="216" s="1"/>
  <c r="D27" i="217" s="1"/>
  <c r="F27" i="217" s="1"/>
  <c r="D27" i="218" s="1"/>
  <c r="F27" i="218" s="1"/>
  <c r="D27" i="219" s="1"/>
  <c r="F27" i="219" s="1"/>
  <c r="D28" i="214"/>
  <c r="D29" i="214"/>
  <c r="D30" i="214"/>
  <c r="D31" i="214"/>
  <c r="D32" i="214"/>
  <c r="D33" i="214"/>
  <c r="D34" i="214"/>
  <c r="D35" i="214"/>
  <c r="F35" i="214" s="1"/>
  <c r="D35" i="215" s="1"/>
  <c r="F35" i="215" s="1"/>
  <c r="D35" i="216" s="1"/>
  <c r="F35" i="216" s="1"/>
  <c r="D35" i="217" s="1"/>
  <c r="F35" i="217" s="1"/>
  <c r="D35" i="218" s="1"/>
  <c r="F35" i="218" s="1"/>
  <c r="D35" i="219" s="1"/>
  <c r="F35" i="219" s="1"/>
  <c r="D36" i="214"/>
  <c r="D37" i="214"/>
  <c r="D38" i="214"/>
  <c r="D39" i="214"/>
  <c r="D40" i="214"/>
  <c r="D41" i="214"/>
  <c r="D42" i="214"/>
  <c r="D43" i="214"/>
  <c r="F43" i="214" s="1"/>
  <c r="D43" i="215" s="1"/>
  <c r="F43" i="215" s="1"/>
  <c r="D43" i="216" s="1"/>
  <c r="F43" i="216" s="1"/>
  <c r="D43" i="217" s="1"/>
  <c r="F43" i="217" s="1"/>
  <c r="D43" i="218" s="1"/>
  <c r="F43" i="218" s="1"/>
  <c r="D43" i="219" s="1"/>
  <c r="F43" i="219" s="1"/>
  <c r="D44" i="214"/>
  <c r="D45" i="214"/>
  <c r="D46" i="214"/>
  <c r="D47" i="214"/>
  <c r="D48" i="214"/>
  <c r="D49" i="214"/>
  <c r="D50" i="214"/>
  <c r="D51" i="214"/>
  <c r="F51" i="214" s="1"/>
  <c r="D51" i="215" s="1"/>
  <c r="F51" i="215" s="1"/>
  <c r="D51" i="216" s="1"/>
  <c r="F51" i="216" s="1"/>
  <c r="D51" i="217" s="1"/>
  <c r="F51" i="217" s="1"/>
  <c r="D51" i="218" s="1"/>
  <c r="F51" i="218" s="1"/>
  <c r="D51" i="219" s="1"/>
  <c r="F51" i="219" s="1"/>
  <c r="D52" i="214"/>
  <c r="D53" i="214"/>
  <c r="D54" i="214"/>
  <c r="D55" i="214"/>
  <c r="D56" i="214"/>
  <c r="D57" i="214"/>
  <c r="D58" i="214"/>
  <c r="D59" i="214"/>
  <c r="F59" i="214" s="1"/>
  <c r="D59" i="215" s="1"/>
  <c r="F59" i="215" s="1"/>
  <c r="D59" i="216" s="1"/>
  <c r="F59" i="216" s="1"/>
  <c r="D59" i="217" s="1"/>
  <c r="F59" i="217" s="1"/>
  <c r="D59" i="218" s="1"/>
  <c r="F59" i="218" s="1"/>
  <c r="D59" i="219" s="1"/>
  <c r="F59" i="219" s="1"/>
  <c r="D60" i="214"/>
  <c r="D61" i="214"/>
  <c r="D62" i="214"/>
  <c r="D63" i="214"/>
  <c r="D64" i="214"/>
  <c r="D65" i="214"/>
  <c r="D66" i="214"/>
  <c r="D67" i="214"/>
  <c r="F67" i="214" s="1"/>
  <c r="D67" i="215" s="1"/>
  <c r="F67" i="215" s="1"/>
  <c r="D67" i="216" s="1"/>
  <c r="F67" i="216" s="1"/>
  <c r="D67" i="217" s="1"/>
  <c r="F67" i="217" s="1"/>
  <c r="D67" i="218" s="1"/>
  <c r="F67" i="218" s="1"/>
  <c r="D67" i="219" s="1"/>
  <c r="F67" i="219" s="1"/>
  <c r="D68" i="214"/>
  <c r="D69" i="214"/>
  <c r="D70" i="214"/>
  <c r="D71" i="214"/>
  <c r="D72" i="214"/>
  <c r="D73" i="214"/>
  <c r="D74" i="214"/>
  <c r="D75" i="214"/>
  <c r="F75" i="214" s="1"/>
  <c r="D75" i="215" s="1"/>
  <c r="F75" i="215" s="1"/>
  <c r="D75" i="216" s="1"/>
  <c r="F75" i="216" s="1"/>
  <c r="D75" i="217" s="1"/>
  <c r="F75" i="217" s="1"/>
  <c r="D75" i="218" s="1"/>
  <c r="F75" i="218" s="1"/>
  <c r="D75" i="219" s="1"/>
  <c r="F75" i="219" s="1"/>
  <c r="D76" i="214"/>
  <c r="D77" i="214"/>
  <c r="D78" i="214"/>
  <c r="D79" i="214"/>
  <c r="D80" i="214"/>
  <c r="D81" i="214"/>
  <c r="D82" i="214"/>
  <c r="D83" i="214"/>
  <c r="F83" i="214" s="1"/>
  <c r="D83" i="215" s="1"/>
  <c r="F83" i="215" s="1"/>
  <c r="D83" i="216" s="1"/>
  <c r="F83" i="216" s="1"/>
  <c r="D83" i="217" s="1"/>
  <c r="F83" i="217" s="1"/>
  <c r="D83" i="218" s="1"/>
  <c r="F83" i="218" s="1"/>
  <c r="D83" i="219" s="1"/>
  <c r="F83" i="219" s="1"/>
  <c r="D84" i="214"/>
  <c r="D85" i="214"/>
  <c r="D86" i="214"/>
  <c r="D87" i="214"/>
  <c r="D88" i="214"/>
  <c r="D89" i="214"/>
  <c r="D90" i="214"/>
  <c r="D91" i="214"/>
  <c r="F91" i="214" s="1"/>
  <c r="D91" i="215" s="1"/>
  <c r="F91" i="215" s="1"/>
  <c r="D91" i="216" s="1"/>
  <c r="F91" i="216" s="1"/>
  <c r="D91" i="217" s="1"/>
  <c r="F91" i="217" s="1"/>
  <c r="D91" i="218" s="1"/>
  <c r="F91" i="218" s="1"/>
  <c r="D91" i="219" s="1"/>
  <c r="F91" i="219" s="1"/>
  <c r="D92" i="214"/>
  <c r="D93" i="214"/>
  <c r="D94" i="214"/>
  <c r="D95" i="214"/>
  <c r="D96" i="214"/>
  <c r="D97" i="214"/>
  <c r="D98" i="214"/>
  <c r="D99" i="214"/>
  <c r="F99" i="214" s="1"/>
  <c r="D99" i="215" s="1"/>
  <c r="F99" i="215" s="1"/>
  <c r="D99" i="216" s="1"/>
  <c r="F99" i="216" s="1"/>
  <c r="D99" i="217" s="1"/>
  <c r="F99" i="217" s="1"/>
  <c r="D99" i="218" s="1"/>
  <c r="F99" i="218" s="1"/>
  <c r="D99" i="219" s="1"/>
  <c r="F99" i="219" s="1"/>
  <c r="D100" i="214"/>
  <c r="D101" i="214"/>
  <c r="D102" i="214"/>
  <c r="D103" i="214"/>
  <c r="D104" i="214"/>
  <c r="D105" i="214"/>
  <c r="D106" i="214"/>
  <c r="D107" i="214"/>
  <c r="F107" i="214" s="1"/>
  <c r="D107" i="215" s="1"/>
  <c r="F107" i="215" s="1"/>
  <c r="D107" i="216" s="1"/>
  <c r="F107" i="216" s="1"/>
  <c r="D107" i="217" s="1"/>
  <c r="F107" i="217" s="1"/>
  <c r="D107" i="218" s="1"/>
  <c r="F107" i="218" s="1"/>
  <c r="D107" i="219" s="1"/>
  <c r="F107" i="219" s="1"/>
  <c r="D108" i="214"/>
  <c r="D109" i="214"/>
  <c r="D110" i="214"/>
  <c r="D111" i="214"/>
  <c r="D112" i="214"/>
  <c r="D113" i="214"/>
  <c r="D114" i="214"/>
  <c r="D115" i="214"/>
  <c r="F115" i="214" s="1"/>
  <c r="D115" i="215" s="1"/>
  <c r="F115" i="215" s="1"/>
  <c r="D115" i="216" s="1"/>
  <c r="F115" i="216" s="1"/>
  <c r="D115" i="217" s="1"/>
  <c r="F115" i="217" s="1"/>
  <c r="D115" i="218" s="1"/>
  <c r="F115" i="218" s="1"/>
  <c r="D115" i="219" s="1"/>
  <c r="F115" i="219" s="1"/>
  <c r="D116" i="214"/>
  <c r="D117" i="214"/>
  <c r="D118" i="214"/>
  <c r="D119" i="214"/>
  <c r="D120" i="214"/>
  <c r="D121" i="214"/>
  <c r="D122" i="214"/>
  <c r="D123" i="214"/>
  <c r="F123" i="214" s="1"/>
  <c r="D123" i="215" s="1"/>
  <c r="F123" i="215" s="1"/>
  <c r="D123" i="216" s="1"/>
  <c r="F123" i="216" s="1"/>
  <c r="D123" i="217" s="1"/>
  <c r="F123" i="217" s="1"/>
  <c r="D123" i="218" s="1"/>
  <c r="F123" i="218" s="1"/>
  <c r="D123" i="219" s="1"/>
  <c r="F123" i="219" s="1"/>
  <c r="D124" i="214"/>
  <c r="D125" i="214"/>
  <c r="D126" i="214"/>
  <c r="D127" i="214"/>
  <c r="D128" i="214"/>
  <c r="D129" i="214"/>
  <c r="D130" i="214"/>
  <c r="D131" i="214"/>
  <c r="F131" i="214" s="1"/>
  <c r="D131" i="215" s="1"/>
  <c r="F131" i="215" s="1"/>
  <c r="D131" i="216" s="1"/>
  <c r="F131" i="216" s="1"/>
  <c r="D131" i="217" s="1"/>
  <c r="F131" i="217" s="1"/>
  <c r="D131" i="218" s="1"/>
  <c r="F131" i="218" s="1"/>
  <c r="D131" i="219" s="1"/>
  <c r="F131" i="219" s="1"/>
  <c r="D132" i="214"/>
  <c r="D133" i="214"/>
  <c r="D134" i="214"/>
  <c r="D135" i="214"/>
  <c r="D136" i="214"/>
  <c r="D137" i="214"/>
  <c r="D138" i="214"/>
  <c r="D139" i="214"/>
  <c r="F139" i="214" s="1"/>
  <c r="D139" i="215" s="1"/>
  <c r="F139" i="215" s="1"/>
  <c r="D139" i="216" s="1"/>
  <c r="F139" i="216" s="1"/>
  <c r="D139" i="217" s="1"/>
  <c r="F139" i="217" s="1"/>
  <c r="D139" i="218" s="1"/>
  <c r="F139" i="218" s="1"/>
  <c r="D139" i="219" s="1"/>
  <c r="F139" i="219" s="1"/>
  <c r="D140" i="214"/>
  <c r="D141" i="214"/>
  <c r="D142" i="214"/>
  <c r="D143" i="214"/>
  <c r="D144" i="214"/>
  <c r="F144" i="214" s="1"/>
  <c r="D144" i="215" s="1"/>
  <c r="F144" i="215" s="1"/>
  <c r="D144" i="216" s="1"/>
  <c r="F144" i="216" s="1"/>
  <c r="D144" i="217" s="1"/>
  <c r="F144" i="217" s="1"/>
  <c r="D144" i="218" s="1"/>
  <c r="F144" i="218" s="1"/>
  <c r="D144" i="219" s="1"/>
  <c r="F144" i="219" s="1"/>
  <c r="D145" i="214"/>
  <c r="D146" i="214"/>
  <c r="D147" i="214"/>
  <c r="F147" i="214" s="1"/>
  <c r="D147" i="215" s="1"/>
  <c r="F147" i="215" s="1"/>
  <c r="D147" i="216" s="1"/>
  <c r="F147" i="216" s="1"/>
  <c r="D147" i="217" s="1"/>
  <c r="F147" i="217" s="1"/>
  <c r="D147" i="218" s="1"/>
  <c r="F147" i="218" s="1"/>
  <c r="D147" i="219" s="1"/>
  <c r="F147" i="219" s="1"/>
  <c r="D148" i="214"/>
  <c r="D149" i="214"/>
  <c r="D150" i="214"/>
  <c r="D151" i="214"/>
  <c r="D152" i="214"/>
  <c r="F152" i="214" s="1"/>
  <c r="D152" i="215" s="1"/>
  <c r="F152" i="215" s="1"/>
  <c r="D152" i="216" s="1"/>
  <c r="F152" i="216" s="1"/>
  <c r="D152" i="217" s="1"/>
  <c r="F152" i="217" s="1"/>
  <c r="D152" i="218" s="1"/>
  <c r="F152" i="218" s="1"/>
  <c r="D152" i="219" s="1"/>
  <c r="F152" i="219" s="1"/>
  <c r="D153" i="214"/>
  <c r="D154" i="214"/>
  <c r="D155" i="214"/>
  <c r="F155" i="214" s="1"/>
  <c r="D155" i="215" s="1"/>
  <c r="F155" i="215" s="1"/>
  <c r="D155" i="216" s="1"/>
  <c r="F155" i="216" s="1"/>
  <c r="D155" i="217" s="1"/>
  <c r="F155" i="217" s="1"/>
  <c r="D155" i="218" s="1"/>
  <c r="F155" i="218" s="1"/>
  <c r="D155" i="219" s="1"/>
  <c r="F155" i="219" s="1"/>
  <c r="D156" i="214"/>
  <c r="D157" i="214"/>
  <c r="D158" i="214"/>
  <c r="D159" i="214"/>
  <c r="D160" i="214"/>
  <c r="F160" i="214" s="1"/>
  <c r="D160" i="215" s="1"/>
  <c r="F160" i="215" s="1"/>
  <c r="D160" i="216" s="1"/>
  <c r="F160" i="216" s="1"/>
  <c r="D160" i="217" s="1"/>
  <c r="F160" i="217" s="1"/>
  <c r="D160" i="218" s="1"/>
  <c r="F160" i="218" s="1"/>
  <c r="D160" i="219" s="1"/>
  <c r="F160" i="219" s="1"/>
  <c r="D161" i="214"/>
  <c r="D162" i="214"/>
  <c r="D163" i="214"/>
  <c r="F163" i="214" s="1"/>
  <c r="D163" i="215" s="1"/>
  <c r="F163" i="215" s="1"/>
  <c r="D163" i="216" s="1"/>
  <c r="F163" i="216" s="1"/>
  <c r="D163" i="217" s="1"/>
  <c r="F163" i="217" s="1"/>
  <c r="D163" i="218" s="1"/>
  <c r="F163" i="218" s="1"/>
  <c r="D163" i="219" s="1"/>
  <c r="F163" i="219" s="1"/>
  <c r="D164" i="214"/>
  <c r="D165" i="214"/>
  <c r="D166" i="214"/>
  <c r="D167" i="214"/>
  <c r="D168" i="214"/>
  <c r="F168" i="214" s="1"/>
  <c r="D168" i="215" s="1"/>
  <c r="F168" i="215" s="1"/>
  <c r="D168" i="216" s="1"/>
  <c r="F168" i="216" s="1"/>
  <c r="D168" i="217" s="1"/>
  <c r="F168" i="217" s="1"/>
  <c r="D168" i="218" s="1"/>
  <c r="F168" i="218" s="1"/>
  <c r="D168" i="219" s="1"/>
  <c r="F168" i="219" s="1"/>
  <c r="D169" i="214"/>
  <c r="D170" i="214"/>
  <c r="D171" i="214"/>
  <c r="F171" i="214" s="1"/>
  <c r="D171" i="215" s="1"/>
  <c r="F171" i="215" s="1"/>
  <c r="D171" i="216" s="1"/>
  <c r="F171" i="216" s="1"/>
  <c r="D171" i="217" s="1"/>
  <c r="F171" i="217" s="1"/>
  <c r="D171" i="218" s="1"/>
  <c r="F171" i="218" s="1"/>
  <c r="D171" i="219" s="1"/>
  <c r="F171" i="219" s="1"/>
  <c r="D172" i="214"/>
  <c r="D173" i="214"/>
  <c r="D174" i="214"/>
  <c r="D175" i="214"/>
  <c r="D176" i="214"/>
  <c r="F176" i="214" s="1"/>
  <c r="D176" i="215" s="1"/>
  <c r="F176" i="215" s="1"/>
  <c r="D176" i="216" s="1"/>
  <c r="F176" i="216" s="1"/>
  <c r="D176" i="217" s="1"/>
  <c r="F176" i="217" s="1"/>
  <c r="D176" i="218" s="1"/>
  <c r="F176" i="218" s="1"/>
  <c r="D176" i="219" s="1"/>
  <c r="F176" i="219" s="1"/>
  <c r="D177" i="214"/>
  <c r="D178" i="214"/>
  <c r="D179" i="214"/>
  <c r="F179" i="214" s="1"/>
  <c r="D179" i="215" s="1"/>
  <c r="F179" i="215" s="1"/>
  <c r="D179" i="216" s="1"/>
  <c r="F179" i="216" s="1"/>
  <c r="D179" i="217" s="1"/>
  <c r="F179" i="217" s="1"/>
  <c r="D179" i="218" s="1"/>
  <c r="F179" i="218" s="1"/>
  <c r="D179" i="219" s="1"/>
  <c r="F179" i="219" s="1"/>
  <c r="D180" i="214"/>
  <c r="D181" i="214"/>
  <c r="D182" i="214"/>
  <c r="D183" i="214"/>
  <c r="D184" i="214"/>
  <c r="F184" i="214" s="1"/>
  <c r="D184" i="215" s="1"/>
  <c r="F184" i="215" s="1"/>
  <c r="D184" i="216" s="1"/>
  <c r="F184" i="216" s="1"/>
  <c r="D184" i="217" s="1"/>
  <c r="F184" i="217" s="1"/>
  <c r="D184" i="218" s="1"/>
  <c r="F184" i="218" s="1"/>
  <c r="D184" i="219" s="1"/>
  <c r="F184" i="219" s="1"/>
  <c r="D185" i="214"/>
  <c r="D186" i="214"/>
  <c r="D187" i="214"/>
  <c r="F187" i="214" s="1"/>
  <c r="D187" i="215" s="1"/>
  <c r="F187" i="215" s="1"/>
  <c r="D187" i="216" s="1"/>
  <c r="F187" i="216" s="1"/>
  <c r="D187" i="217" s="1"/>
  <c r="F187" i="217" s="1"/>
  <c r="D187" i="218" s="1"/>
  <c r="F187" i="218" s="1"/>
  <c r="D187" i="219" s="1"/>
  <c r="F187" i="219" s="1"/>
  <c r="D188" i="214"/>
  <c r="D189" i="214"/>
  <c r="D190" i="214"/>
  <c r="D191" i="214"/>
  <c r="D192" i="214"/>
  <c r="F192" i="214" s="1"/>
  <c r="D192" i="215" s="1"/>
  <c r="F192" i="215" s="1"/>
  <c r="D192" i="216" s="1"/>
  <c r="F192" i="216" s="1"/>
  <c r="D192" i="217" s="1"/>
  <c r="F192" i="217" s="1"/>
  <c r="D192" i="218" s="1"/>
  <c r="F192" i="218" s="1"/>
  <c r="D192" i="219" s="1"/>
  <c r="F192" i="219" s="1"/>
  <c r="D193" i="214"/>
  <c r="D194" i="214"/>
  <c r="D195" i="214"/>
  <c r="F195" i="214" s="1"/>
  <c r="D195" i="215" s="1"/>
  <c r="F195" i="215" s="1"/>
  <c r="D195" i="216" s="1"/>
  <c r="F195" i="216" s="1"/>
  <c r="D195" i="217" s="1"/>
  <c r="F195" i="217" s="1"/>
  <c r="D195" i="218" s="1"/>
  <c r="F195" i="218" s="1"/>
  <c r="D195" i="219" s="1"/>
  <c r="F195" i="219" s="1"/>
  <c r="D196" i="214"/>
  <c r="D197" i="214"/>
  <c r="D198" i="214"/>
  <c r="D199" i="214"/>
  <c r="D200" i="214"/>
  <c r="F200" i="214" s="1"/>
  <c r="D200" i="215" s="1"/>
  <c r="F200" i="215" s="1"/>
  <c r="D200" i="216" s="1"/>
  <c r="F200" i="216" s="1"/>
  <c r="D200" i="217" s="1"/>
  <c r="F200" i="217" s="1"/>
  <c r="D200" i="218" s="1"/>
  <c r="F200" i="218" s="1"/>
  <c r="D200" i="219" s="1"/>
  <c r="F200" i="219" s="1"/>
  <c r="D201" i="214"/>
  <c r="D202" i="214"/>
  <c r="D203" i="214"/>
  <c r="F203" i="214" s="1"/>
  <c r="D203" i="215" s="1"/>
  <c r="F203" i="215" s="1"/>
  <c r="D203" i="216" s="1"/>
  <c r="F203" i="216" s="1"/>
  <c r="D203" i="217" s="1"/>
  <c r="F203" i="217" s="1"/>
  <c r="D203" i="218" s="1"/>
  <c r="F203" i="218" s="1"/>
  <c r="D203" i="219" s="1"/>
  <c r="F203" i="219" s="1"/>
  <c r="D204" i="214"/>
  <c r="D205" i="214"/>
  <c r="D206" i="214"/>
  <c r="D207" i="214"/>
  <c r="F207" i="214" s="1"/>
  <c r="D207" i="215" s="1"/>
  <c r="F207" i="215" s="1"/>
  <c r="D207" i="216" s="1"/>
  <c r="F207" i="216" s="1"/>
  <c r="D207" i="217" s="1"/>
  <c r="F207" i="217" s="1"/>
  <c r="D207" i="218" s="1"/>
  <c r="F207" i="218" s="1"/>
  <c r="D207" i="219" s="1"/>
  <c r="F207" i="219" s="1"/>
  <c r="D208" i="214"/>
  <c r="F208" i="214" s="1"/>
  <c r="D208" i="215" s="1"/>
  <c r="F208" i="215" s="1"/>
  <c r="D208" i="216" s="1"/>
  <c r="F208" i="216" s="1"/>
  <c r="D208" i="217" s="1"/>
  <c r="F208" i="217" s="1"/>
  <c r="D208" i="218" s="1"/>
  <c r="F208" i="218" s="1"/>
  <c r="D208" i="219" s="1"/>
  <c r="F208" i="219" s="1"/>
  <c r="D209" i="214"/>
  <c r="D210" i="214"/>
  <c r="F210" i="214" s="1"/>
  <c r="D210" i="215" s="1"/>
  <c r="F210" i="215" s="1"/>
  <c r="D210" i="216" s="1"/>
  <c r="F210" i="216" s="1"/>
  <c r="D210" i="217" s="1"/>
  <c r="F210" i="217" s="1"/>
  <c r="D210" i="218" s="1"/>
  <c r="F210" i="218" s="1"/>
  <c r="D210" i="219" s="1"/>
  <c r="F210" i="219" s="1"/>
  <c r="D211" i="214"/>
  <c r="F211" i="214" s="1"/>
  <c r="D211" i="215" s="1"/>
  <c r="F211" i="215" s="1"/>
  <c r="D211" i="216" s="1"/>
  <c r="F211" i="216" s="1"/>
  <c r="D211" i="217" s="1"/>
  <c r="F211" i="217" s="1"/>
  <c r="D211" i="218" s="1"/>
  <c r="F211" i="218" s="1"/>
  <c r="D211" i="219" s="1"/>
  <c r="F211" i="219" s="1"/>
  <c r="C211" i="214"/>
  <c r="C210" i="214"/>
  <c r="F209" i="214"/>
  <c r="D209" i="215" s="1"/>
  <c r="F209" i="215" s="1"/>
  <c r="D209" i="216" s="1"/>
  <c r="F209" i="216" s="1"/>
  <c r="D209" i="217" s="1"/>
  <c r="F209" i="217" s="1"/>
  <c r="D209" i="218" s="1"/>
  <c r="F209" i="218" s="1"/>
  <c r="D209" i="219" s="1"/>
  <c r="F209" i="219" s="1"/>
  <c r="C209" i="214"/>
  <c r="C208" i="214"/>
  <c r="C207" i="214"/>
  <c r="F206" i="214"/>
  <c r="D206" i="215" s="1"/>
  <c r="F206" i="215" s="1"/>
  <c r="D206" i="216" s="1"/>
  <c r="F206" i="216" s="1"/>
  <c r="D206" i="217" s="1"/>
  <c r="F206" i="217" s="1"/>
  <c r="D206" i="218" s="1"/>
  <c r="F206" i="218" s="1"/>
  <c r="D206" i="219" s="1"/>
  <c r="F206" i="219" s="1"/>
  <c r="C206" i="214"/>
  <c r="F205" i="214"/>
  <c r="D205" i="215" s="1"/>
  <c r="F205" i="215" s="1"/>
  <c r="D205" i="216" s="1"/>
  <c r="F205" i="216" s="1"/>
  <c r="D205" i="217" s="1"/>
  <c r="F205" i="217" s="1"/>
  <c r="D205" i="218" s="1"/>
  <c r="F205" i="218" s="1"/>
  <c r="D205" i="219" s="1"/>
  <c r="F205" i="219" s="1"/>
  <c r="C205" i="214"/>
  <c r="F204" i="214"/>
  <c r="D204" i="215" s="1"/>
  <c r="F204" i="215" s="1"/>
  <c r="D204" i="216" s="1"/>
  <c r="F204" i="216" s="1"/>
  <c r="D204" i="217" s="1"/>
  <c r="F204" i="217" s="1"/>
  <c r="D204" i="218" s="1"/>
  <c r="F204" i="218" s="1"/>
  <c r="D204" i="219" s="1"/>
  <c r="F204" i="219" s="1"/>
  <c r="C204" i="214"/>
  <c r="C203" i="214"/>
  <c r="F202" i="214"/>
  <c r="D202" i="215" s="1"/>
  <c r="F202" i="215" s="1"/>
  <c r="D202" i="216" s="1"/>
  <c r="F202" i="216" s="1"/>
  <c r="D202" i="217" s="1"/>
  <c r="F202" i="217" s="1"/>
  <c r="D202" i="218" s="1"/>
  <c r="F202" i="218" s="1"/>
  <c r="D202" i="219" s="1"/>
  <c r="F202" i="219" s="1"/>
  <c r="C202" i="214"/>
  <c r="F201" i="214"/>
  <c r="C201" i="214"/>
  <c r="C200" i="214"/>
  <c r="F199" i="214"/>
  <c r="D199" i="215" s="1"/>
  <c r="F199" i="215" s="1"/>
  <c r="D199" i="216" s="1"/>
  <c r="F199" i="216" s="1"/>
  <c r="D199" i="217" s="1"/>
  <c r="F199" i="217" s="1"/>
  <c r="D199" i="218" s="1"/>
  <c r="F199" i="218" s="1"/>
  <c r="D199" i="219" s="1"/>
  <c r="F199" i="219" s="1"/>
  <c r="C199" i="214"/>
  <c r="F198" i="214"/>
  <c r="D198" i="215" s="1"/>
  <c r="F198" i="215" s="1"/>
  <c r="D198" i="216" s="1"/>
  <c r="F198" i="216" s="1"/>
  <c r="D198" i="217" s="1"/>
  <c r="F198" i="217" s="1"/>
  <c r="D198" i="218" s="1"/>
  <c r="F198" i="218" s="1"/>
  <c r="D198" i="219" s="1"/>
  <c r="F198" i="219" s="1"/>
  <c r="C198" i="214"/>
  <c r="F197" i="214"/>
  <c r="D197" i="215" s="1"/>
  <c r="F197" i="215" s="1"/>
  <c r="D197" i="216" s="1"/>
  <c r="F197" i="216" s="1"/>
  <c r="D197" i="217" s="1"/>
  <c r="F197" i="217" s="1"/>
  <c r="D197" i="218" s="1"/>
  <c r="F197" i="218" s="1"/>
  <c r="D197" i="219" s="1"/>
  <c r="F197" i="219" s="1"/>
  <c r="C197" i="214"/>
  <c r="F196" i="214"/>
  <c r="D196" i="215" s="1"/>
  <c r="F196" i="215" s="1"/>
  <c r="D196" i="216" s="1"/>
  <c r="F196" i="216" s="1"/>
  <c r="D196" i="217" s="1"/>
  <c r="F196" i="217" s="1"/>
  <c r="D196" i="218" s="1"/>
  <c r="F196" i="218" s="1"/>
  <c r="D196" i="219" s="1"/>
  <c r="F196" i="219" s="1"/>
  <c r="C196" i="214"/>
  <c r="C195" i="214"/>
  <c r="F194" i="214"/>
  <c r="D194" i="215" s="1"/>
  <c r="F194" i="215" s="1"/>
  <c r="D194" i="216" s="1"/>
  <c r="F194" i="216" s="1"/>
  <c r="D194" i="217" s="1"/>
  <c r="F194" i="217" s="1"/>
  <c r="D194" i="218" s="1"/>
  <c r="F194" i="218" s="1"/>
  <c r="D194" i="219" s="1"/>
  <c r="F194" i="219" s="1"/>
  <c r="C194" i="214"/>
  <c r="F193" i="214"/>
  <c r="D193" i="215" s="1"/>
  <c r="F193" i="215" s="1"/>
  <c r="D193" i="216" s="1"/>
  <c r="F193" i="216" s="1"/>
  <c r="D193" i="217" s="1"/>
  <c r="F193" i="217" s="1"/>
  <c r="D193" i="218" s="1"/>
  <c r="F193" i="218" s="1"/>
  <c r="D193" i="219" s="1"/>
  <c r="F193" i="219" s="1"/>
  <c r="C193" i="214"/>
  <c r="C192" i="214"/>
  <c r="F191" i="214"/>
  <c r="C191" i="214"/>
  <c r="F190" i="214"/>
  <c r="D190" i="215" s="1"/>
  <c r="F190" i="215" s="1"/>
  <c r="D190" i="216" s="1"/>
  <c r="F190" i="216" s="1"/>
  <c r="D190" i="217" s="1"/>
  <c r="F190" i="217" s="1"/>
  <c r="D190" i="218" s="1"/>
  <c r="F190" i="218" s="1"/>
  <c r="D190" i="219" s="1"/>
  <c r="F190" i="219" s="1"/>
  <c r="C190" i="214"/>
  <c r="F189" i="214"/>
  <c r="D189" i="215" s="1"/>
  <c r="F189" i="215" s="1"/>
  <c r="D189" i="216" s="1"/>
  <c r="F189" i="216" s="1"/>
  <c r="D189" i="217" s="1"/>
  <c r="F189" i="217" s="1"/>
  <c r="D189" i="218" s="1"/>
  <c r="F189" i="218" s="1"/>
  <c r="D189" i="219" s="1"/>
  <c r="F189" i="219" s="1"/>
  <c r="C189" i="214"/>
  <c r="F188" i="214"/>
  <c r="D188" i="215" s="1"/>
  <c r="F188" i="215" s="1"/>
  <c r="D188" i="216" s="1"/>
  <c r="F188" i="216" s="1"/>
  <c r="D188" i="217" s="1"/>
  <c r="F188" i="217" s="1"/>
  <c r="D188" i="218" s="1"/>
  <c r="F188" i="218" s="1"/>
  <c r="D188" i="219" s="1"/>
  <c r="F188" i="219" s="1"/>
  <c r="C188" i="214"/>
  <c r="C187" i="214"/>
  <c r="F186" i="214"/>
  <c r="D186" i="215" s="1"/>
  <c r="F186" i="215" s="1"/>
  <c r="D186" i="216" s="1"/>
  <c r="F186" i="216" s="1"/>
  <c r="D186" i="217" s="1"/>
  <c r="F186" i="217" s="1"/>
  <c r="D186" i="218" s="1"/>
  <c r="F186" i="218" s="1"/>
  <c r="D186" i="219" s="1"/>
  <c r="F186" i="219" s="1"/>
  <c r="C186" i="214"/>
  <c r="F185" i="214"/>
  <c r="D185" i="215" s="1"/>
  <c r="F185" i="215" s="1"/>
  <c r="D185" i="216" s="1"/>
  <c r="F185" i="216" s="1"/>
  <c r="D185" i="217" s="1"/>
  <c r="F185" i="217" s="1"/>
  <c r="D185" i="218" s="1"/>
  <c r="F185" i="218" s="1"/>
  <c r="D185" i="219" s="1"/>
  <c r="F185" i="219" s="1"/>
  <c r="C185" i="214"/>
  <c r="C184" i="214"/>
  <c r="F183" i="214"/>
  <c r="D183" i="215" s="1"/>
  <c r="F183" i="215" s="1"/>
  <c r="D183" i="216" s="1"/>
  <c r="F183" i="216" s="1"/>
  <c r="D183" i="217" s="1"/>
  <c r="F183" i="217" s="1"/>
  <c r="D183" i="218" s="1"/>
  <c r="F183" i="218" s="1"/>
  <c r="D183" i="219" s="1"/>
  <c r="F183" i="219" s="1"/>
  <c r="C183" i="214"/>
  <c r="F182" i="214"/>
  <c r="D182" i="215" s="1"/>
  <c r="F182" i="215" s="1"/>
  <c r="D182" i="216" s="1"/>
  <c r="F182" i="216" s="1"/>
  <c r="D182" i="217" s="1"/>
  <c r="F182" i="217" s="1"/>
  <c r="D182" i="218" s="1"/>
  <c r="F182" i="218" s="1"/>
  <c r="D182" i="219" s="1"/>
  <c r="F182" i="219" s="1"/>
  <c r="C182" i="214"/>
  <c r="F181" i="214"/>
  <c r="D181" i="215" s="1"/>
  <c r="F181" i="215" s="1"/>
  <c r="D181" i="216" s="1"/>
  <c r="F181" i="216" s="1"/>
  <c r="D181" i="217" s="1"/>
  <c r="F181" i="217" s="1"/>
  <c r="D181" i="218" s="1"/>
  <c r="F181" i="218" s="1"/>
  <c r="D181" i="219" s="1"/>
  <c r="F181" i="219" s="1"/>
  <c r="C181" i="214"/>
  <c r="F180" i="214"/>
  <c r="D180" i="215" s="1"/>
  <c r="F180" i="215" s="1"/>
  <c r="D180" i="216" s="1"/>
  <c r="F180" i="216" s="1"/>
  <c r="D180" i="217" s="1"/>
  <c r="F180" i="217" s="1"/>
  <c r="D180" i="218" s="1"/>
  <c r="F180" i="218" s="1"/>
  <c r="D180" i="219" s="1"/>
  <c r="F180" i="219" s="1"/>
  <c r="C180" i="214"/>
  <c r="C179" i="214"/>
  <c r="F178" i="214"/>
  <c r="D178" i="215" s="1"/>
  <c r="F178" i="215" s="1"/>
  <c r="D178" i="216" s="1"/>
  <c r="F178" i="216" s="1"/>
  <c r="D178" i="217" s="1"/>
  <c r="F178" i="217" s="1"/>
  <c r="D178" i="218" s="1"/>
  <c r="F178" i="218" s="1"/>
  <c r="D178" i="219" s="1"/>
  <c r="F178" i="219" s="1"/>
  <c r="C178" i="214"/>
  <c r="F177" i="214"/>
  <c r="D177" i="215" s="1"/>
  <c r="F177" i="215" s="1"/>
  <c r="D177" i="216" s="1"/>
  <c r="F177" i="216" s="1"/>
  <c r="D177" i="217" s="1"/>
  <c r="F177" i="217" s="1"/>
  <c r="D177" i="218" s="1"/>
  <c r="F177" i="218" s="1"/>
  <c r="D177" i="219" s="1"/>
  <c r="F177" i="219" s="1"/>
  <c r="C177" i="214"/>
  <c r="C176" i="214"/>
  <c r="F175" i="214"/>
  <c r="D175" i="215" s="1"/>
  <c r="F175" i="215" s="1"/>
  <c r="D175" i="216" s="1"/>
  <c r="F175" i="216" s="1"/>
  <c r="D175" i="217" s="1"/>
  <c r="F175" i="217" s="1"/>
  <c r="D175" i="218" s="1"/>
  <c r="F175" i="218" s="1"/>
  <c r="D175" i="219" s="1"/>
  <c r="F175" i="219" s="1"/>
  <c r="C175" i="214"/>
  <c r="F174" i="214"/>
  <c r="D174" i="215" s="1"/>
  <c r="F174" i="215" s="1"/>
  <c r="D174" i="216" s="1"/>
  <c r="F174" i="216" s="1"/>
  <c r="D174" i="217" s="1"/>
  <c r="F174" i="217" s="1"/>
  <c r="D174" i="218" s="1"/>
  <c r="F174" i="218" s="1"/>
  <c r="D174" i="219" s="1"/>
  <c r="F174" i="219" s="1"/>
  <c r="C174" i="214"/>
  <c r="F173" i="214"/>
  <c r="D173" i="215" s="1"/>
  <c r="F173" i="215" s="1"/>
  <c r="D173" i="216" s="1"/>
  <c r="F173" i="216" s="1"/>
  <c r="D173" i="217" s="1"/>
  <c r="F173" i="217" s="1"/>
  <c r="D173" i="218" s="1"/>
  <c r="F173" i="218" s="1"/>
  <c r="D173" i="219" s="1"/>
  <c r="F173" i="219" s="1"/>
  <c r="C173" i="214"/>
  <c r="F172" i="214"/>
  <c r="D172" i="215" s="1"/>
  <c r="F172" i="215" s="1"/>
  <c r="D172" i="216" s="1"/>
  <c r="F172" i="216" s="1"/>
  <c r="D172" i="217" s="1"/>
  <c r="F172" i="217" s="1"/>
  <c r="D172" i="218" s="1"/>
  <c r="F172" i="218" s="1"/>
  <c r="D172" i="219" s="1"/>
  <c r="F172" i="219" s="1"/>
  <c r="C172" i="214"/>
  <c r="C171" i="214"/>
  <c r="F170" i="214"/>
  <c r="D170" i="215" s="1"/>
  <c r="F170" i="215" s="1"/>
  <c r="D170" i="216" s="1"/>
  <c r="F170" i="216" s="1"/>
  <c r="D170" i="217" s="1"/>
  <c r="F170" i="217" s="1"/>
  <c r="D170" i="218" s="1"/>
  <c r="F170" i="218" s="1"/>
  <c r="D170" i="219" s="1"/>
  <c r="F170" i="219" s="1"/>
  <c r="C170" i="214"/>
  <c r="F169" i="214"/>
  <c r="D169" i="215" s="1"/>
  <c r="F169" i="215" s="1"/>
  <c r="D169" i="216" s="1"/>
  <c r="F169" i="216" s="1"/>
  <c r="D169" i="217" s="1"/>
  <c r="F169" i="217" s="1"/>
  <c r="D169" i="218" s="1"/>
  <c r="F169" i="218" s="1"/>
  <c r="D169" i="219" s="1"/>
  <c r="F169" i="219" s="1"/>
  <c r="C169" i="214"/>
  <c r="C168" i="214"/>
  <c r="F167" i="214"/>
  <c r="C167" i="214"/>
  <c r="F166" i="214"/>
  <c r="D166" i="215" s="1"/>
  <c r="F166" i="215" s="1"/>
  <c r="D166" i="216" s="1"/>
  <c r="F166" i="216" s="1"/>
  <c r="D166" i="217" s="1"/>
  <c r="F166" i="217" s="1"/>
  <c r="D166" i="218" s="1"/>
  <c r="F166" i="218" s="1"/>
  <c r="D166" i="219" s="1"/>
  <c r="F166" i="219" s="1"/>
  <c r="C166" i="214"/>
  <c r="F165" i="214"/>
  <c r="D165" i="215" s="1"/>
  <c r="F165" i="215" s="1"/>
  <c r="D165" i="216" s="1"/>
  <c r="F165" i="216" s="1"/>
  <c r="D165" i="217" s="1"/>
  <c r="F165" i="217" s="1"/>
  <c r="D165" i="218" s="1"/>
  <c r="F165" i="218" s="1"/>
  <c r="D165" i="219" s="1"/>
  <c r="F165" i="219" s="1"/>
  <c r="C165" i="214"/>
  <c r="F164" i="214"/>
  <c r="D164" i="215" s="1"/>
  <c r="F164" i="215" s="1"/>
  <c r="D164" i="216" s="1"/>
  <c r="F164" i="216" s="1"/>
  <c r="D164" i="217" s="1"/>
  <c r="F164" i="217" s="1"/>
  <c r="D164" i="218" s="1"/>
  <c r="F164" i="218" s="1"/>
  <c r="D164" i="219" s="1"/>
  <c r="F164" i="219" s="1"/>
  <c r="C164" i="214"/>
  <c r="C163" i="214"/>
  <c r="F162" i="214"/>
  <c r="D162" i="215" s="1"/>
  <c r="F162" i="215" s="1"/>
  <c r="D162" i="216" s="1"/>
  <c r="F162" i="216" s="1"/>
  <c r="D162" i="217" s="1"/>
  <c r="F162" i="217" s="1"/>
  <c r="D162" i="218" s="1"/>
  <c r="F162" i="218" s="1"/>
  <c r="D162" i="219" s="1"/>
  <c r="F162" i="219" s="1"/>
  <c r="C162" i="214"/>
  <c r="F161" i="214"/>
  <c r="D161" i="215" s="1"/>
  <c r="F161" i="215" s="1"/>
  <c r="D161" i="216" s="1"/>
  <c r="F161" i="216" s="1"/>
  <c r="D161" i="217" s="1"/>
  <c r="F161" i="217" s="1"/>
  <c r="D161" i="218" s="1"/>
  <c r="F161" i="218" s="1"/>
  <c r="D161" i="219" s="1"/>
  <c r="F161" i="219" s="1"/>
  <c r="C161" i="214"/>
  <c r="C160" i="214"/>
  <c r="F159" i="214"/>
  <c r="D159" i="215" s="1"/>
  <c r="F159" i="215" s="1"/>
  <c r="D159" i="216" s="1"/>
  <c r="F159" i="216" s="1"/>
  <c r="D159" i="217" s="1"/>
  <c r="F159" i="217" s="1"/>
  <c r="D159" i="218" s="1"/>
  <c r="F159" i="218" s="1"/>
  <c r="D159" i="219" s="1"/>
  <c r="F159" i="219" s="1"/>
  <c r="C159" i="214"/>
  <c r="F158" i="214"/>
  <c r="D158" i="215" s="1"/>
  <c r="F158" i="215" s="1"/>
  <c r="D158" i="216" s="1"/>
  <c r="F158" i="216" s="1"/>
  <c r="D158" i="217" s="1"/>
  <c r="F158" i="217" s="1"/>
  <c r="D158" i="218" s="1"/>
  <c r="F158" i="218" s="1"/>
  <c r="D158" i="219" s="1"/>
  <c r="F158" i="219" s="1"/>
  <c r="C158" i="214"/>
  <c r="F157" i="214"/>
  <c r="D157" i="215" s="1"/>
  <c r="F157" i="215" s="1"/>
  <c r="D157" i="216" s="1"/>
  <c r="F157" i="216" s="1"/>
  <c r="D157" i="217" s="1"/>
  <c r="F157" i="217" s="1"/>
  <c r="D157" i="218" s="1"/>
  <c r="F157" i="218" s="1"/>
  <c r="D157" i="219" s="1"/>
  <c r="F157" i="219" s="1"/>
  <c r="C157" i="214"/>
  <c r="F156" i="214"/>
  <c r="D156" i="215" s="1"/>
  <c r="C156" i="214"/>
  <c r="C155" i="214"/>
  <c r="F154" i="214"/>
  <c r="D154" i="215" s="1"/>
  <c r="F154" i="215" s="1"/>
  <c r="D154" i="216" s="1"/>
  <c r="F154" i="216" s="1"/>
  <c r="D154" i="217" s="1"/>
  <c r="F154" i="217" s="1"/>
  <c r="D154" i="218" s="1"/>
  <c r="F154" i="218" s="1"/>
  <c r="D154" i="219" s="1"/>
  <c r="F154" i="219" s="1"/>
  <c r="C154" i="214"/>
  <c r="F153" i="214"/>
  <c r="C153" i="214"/>
  <c r="C152" i="214"/>
  <c r="F151" i="214"/>
  <c r="D151" i="215" s="1"/>
  <c r="F151" i="215" s="1"/>
  <c r="D151" i="216" s="1"/>
  <c r="F151" i="216" s="1"/>
  <c r="D151" i="217" s="1"/>
  <c r="F151" i="217" s="1"/>
  <c r="D151" i="218" s="1"/>
  <c r="F151" i="218" s="1"/>
  <c r="D151" i="219" s="1"/>
  <c r="F151" i="219" s="1"/>
  <c r="C151" i="214"/>
  <c r="F150" i="214"/>
  <c r="D150" i="215" s="1"/>
  <c r="F150" i="215" s="1"/>
  <c r="D150" i="216" s="1"/>
  <c r="F150" i="216" s="1"/>
  <c r="D150" i="217" s="1"/>
  <c r="F150" i="217" s="1"/>
  <c r="D150" i="218" s="1"/>
  <c r="F150" i="218" s="1"/>
  <c r="D150" i="219" s="1"/>
  <c r="F150" i="219" s="1"/>
  <c r="C150" i="214"/>
  <c r="F149" i="214"/>
  <c r="D149" i="215" s="1"/>
  <c r="F149" i="215" s="1"/>
  <c r="D149" i="216" s="1"/>
  <c r="F149" i="216" s="1"/>
  <c r="D149" i="217" s="1"/>
  <c r="F149" i="217" s="1"/>
  <c r="D149" i="218" s="1"/>
  <c r="F149" i="218" s="1"/>
  <c r="D149" i="219" s="1"/>
  <c r="F149" i="219" s="1"/>
  <c r="C149" i="214"/>
  <c r="F148" i="214"/>
  <c r="D148" i="215" s="1"/>
  <c r="F148" i="215" s="1"/>
  <c r="D148" i="216" s="1"/>
  <c r="F148" i="216" s="1"/>
  <c r="D148" i="217" s="1"/>
  <c r="F148" i="217" s="1"/>
  <c r="D148" i="218" s="1"/>
  <c r="F148" i="218" s="1"/>
  <c r="D148" i="219" s="1"/>
  <c r="F148" i="219" s="1"/>
  <c r="C148" i="214"/>
  <c r="C147" i="214"/>
  <c r="F146" i="214"/>
  <c r="D146" i="215" s="1"/>
  <c r="F146" i="215" s="1"/>
  <c r="D146" i="216" s="1"/>
  <c r="F146" i="216" s="1"/>
  <c r="D146" i="217" s="1"/>
  <c r="F146" i="217" s="1"/>
  <c r="D146" i="218" s="1"/>
  <c r="F146" i="218" s="1"/>
  <c r="D146" i="219" s="1"/>
  <c r="F146" i="219" s="1"/>
  <c r="C146" i="214"/>
  <c r="F145" i="214"/>
  <c r="D145" i="215" s="1"/>
  <c r="F145" i="215" s="1"/>
  <c r="D145" i="216" s="1"/>
  <c r="F145" i="216" s="1"/>
  <c r="D145" i="217" s="1"/>
  <c r="F145" i="217" s="1"/>
  <c r="D145" i="218" s="1"/>
  <c r="F145" i="218" s="1"/>
  <c r="D145" i="219" s="1"/>
  <c r="F145" i="219" s="1"/>
  <c r="C145" i="214"/>
  <c r="C144" i="214"/>
  <c r="F143" i="214"/>
  <c r="D143" i="215" s="1"/>
  <c r="F143" i="215" s="1"/>
  <c r="D143" i="216" s="1"/>
  <c r="F143" i="216" s="1"/>
  <c r="D143" i="217" s="1"/>
  <c r="F143" i="217" s="1"/>
  <c r="D143" i="218" s="1"/>
  <c r="F143" i="218" s="1"/>
  <c r="D143" i="219" s="1"/>
  <c r="F143" i="219" s="1"/>
  <c r="C143" i="214"/>
  <c r="F142" i="214"/>
  <c r="D142" i="215" s="1"/>
  <c r="F142" i="215" s="1"/>
  <c r="D142" i="216" s="1"/>
  <c r="F142" i="216" s="1"/>
  <c r="D142" i="217" s="1"/>
  <c r="F142" i="217" s="1"/>
  <c r="D142" i="218" s="1"/>
  <c r="F142" i="218" s="1"/>
  <c r="D142" i="219" s="1"/>
  <c r="F142" i="219" s="1"/>
  <c r="C142" i="214"/>
  <c r="F141" i="214"/>
  <c r="D141" i="215" s="1"/>
  <c r="F141" i="215" s="1"/>
  <c r="D141" i="216" s="1"/>
  <c r="F141" i="216" s="1"/>
  <c r="D141" i="217" s="1"/>
  <c r="F141" i="217" s="1"/>
  <c r="D141" i="218" s="1"/>
  <c r="F141" i="218" s="1"/>
  <c r="D141" i="219" s="1"/>
  <c r="F141" i="219" s="1"/>
  <c r="C141" i="214"/>
  <c r="F140" i="214"/>
  <c r="D140" i="215" s="1"/>
  <c r="F140" i="215" s="1"/>
  <c r="D140" i="216" s="1"/>
  <c r="F140" i="216" s="1"/>
  <c r="D140" i="217" s="1"/>
  <c r="F140" i="217" s="1"/>
  <c r="D140" i="218" s="1"/>
  <c r="F140" i="218" s="1"/>
  <c r="D140" i="219" s="1"/>
  <c r="F140" i="219" s="1"/>
  <c r="C140" i="214"/>
  <c r="C139" i="214"/>
  <c r="F138" i="214"/>
  <c r="D138" i="215" s="1"/>
  <c r="F138" i="215" s="1"/>
  <c r="D138" i="216" s="1"/>
  <c r="F138" i="216" s="1"/>
  <c r="D138" i="217" s="1"/>
  <c r="F138" i="217" s="1"/>
  <c r="D138" i="218" s="1"/>
  <c r="F138" i="218" s="1"/>
  <c r="D138" i="219" s="1"/>
  <c r="F138" i="219" s="1"/>
  <c r="C138" i="214"/>
  <c r="F137" i="214"/>
  <c r="C137" i="214"/>
  <c r="F136" i="214"/>
  <c r="D136" i="215" s="1"/>
  <c r="F136" i="215" s="1"/>
  <c r="D136" i="216" s="1"/>
  <c r="F136" i="216" s="1"/>
  <c r="D136" i="217" s="1"/>
  <c r="F136" i="217" s="1"/>
  <c r="D136" i="218" s="1"/>
  <c r="F136" i="218" s="1"/>
  <c r="D136" i="219" s="1"/>
  <c r="F136" i="219" s="1"/>
  <c r="C136" i="214"/>
  <c r="F135" i="214"/>
  <c r="D135" i="215" s="1"/>
  <c r="F135" i="215" s="1"/>
  <c r="D135" i="216" s="1"/>
  <c r="F135" i="216" s="1"/>
  <c r="D135" i="217" s="1"/>
  <c r="F135" i="217" s="1"/>
  <c r="D135" i="218" s="1"/>
  <c r="F135" i="218" s="1"/>
  <c r="D135" i="219" s="1"/>
  <c r="F135" i="219" s="1"/>
  <c r="C135" i="214"/>
  <c r="F134" i="214"/>
  <c r="D134" i="215" s="1"/>
  <c r="F134" i="215" s="1"/>
  <c r="D134" i="216" s="1"/>
  <c r="F134" i="216" s="1"/>
  <c r="D134" i="217" s="1"/>
  <c r="F134" i="217" s="1"/>
  <c r="D134" i="218" s="1"/>
  <c r="F134" i="218" s="1"/>
  <c r="D134" i="219" s="1"/>
  <c r="F134" i="219" s="1"/>
  <c r="C134" i="214"/>
  <c r="F133" i="214"/>
  <c r="D133" i="215" s="1"/>
  <c r="F133" i="215" s="1"/>
  <c r="D133" i="216" s="1"/>
  <c r="F133" i="216" s="1"/>
  <c r="D133" i="217" s="1"/>
  <c r="F133" i="217" s="1"/>
  <c r="D133" i="218" s="1"/>
  <c r="F133" i="218" s="1"/>
  <c r="D133" i="219" s="1"/>
  <c r="F133" i="219" s="1"/>
  <c r="C133" i="214"/>
  <c r="F132" i="214"/>
  <c r="D132" i="215" s="1"/>
  <c r="F132" i="215" s="1"/>
  <c r="D132" i="216" s="1"/>
  <c r="F132" i="216" s="1"/>
  <c r="D132" i="217" s="1"/>
  <c r="F132" i="217" s="1"/>
  <c r="D132" i="218" s="1"/>
  <c r="F132" i="218" s="1"/>
  <c r="D132" i="219" s="1"/>
  <c r="F132" i="219" s="1"/>
  <c r="C132" i="214"/>
  <c r="C131" i="214"/>
  <c r="F130" i="214"/>
  <c r="D130" i="215" s="1"/>
  <c r="F130" i="215" s="1"/>
  <c r="D130" i="216" s="1"/>
  <c r="F130" i="216" s="1"/>
  <c r="D130" i="217" s="1"/>
  <c r="F130" i="217" s="1"/>
  <c r="D130" i="218" s="1"/>
  <c r="F130" i="218" s="1"/>
  <c r="D130" i="219" s="1"/>
  <c r="F130" i="219" s="1"/>
  <c r="C130" i="214"/>
  <c r="F129" i="214"/>
  <c r="D129" i="215" s="1"/>
  <c r="F129" i="215" s="1"/>
  <c r="D129" i="216" s="1"/>
  <c r="F129" i="216" s="1"/>
  <c r="D129" i="217" s="1"/>
  <c r="F129" i="217" s="1"/>
  <c r="D129" i="218" s="1"/>
  <c r="F129" i="218" s="1"/>
  <c r="D129" i="219" s="1"/>
  <c r="F129" i="219" s="1"/>
  <c r="C129" i="214"/>
  <c r="F128" i="214"/>
  <c r="D128" i="215" s="1"/>
  <c r="F128" i="215" s="1"/>
  <c r="D128" i="216" s="1"/>
  <c r="F128" i="216" s="1"/>
  <c r="D128" i="217" s="1"/>
  <c r="F128" i="217" s="1"/>
  <c r="D128" i="218" s="1"/>
  <c r="F128" i="218" s="1"/>
  <c r="D128" i="219" s="1"/>
  <c r="F128" i="219" s="1"/>
  <c r="C128" i="214"/>
  <c r="F127" i="214"/>
  <c r="D127" i="215" s="1"/>
  <c r="F127" i="215" s="1"/>
  <c r="D127" i="216" s="1"/>
  <c r="F127" i="216" s="1"/>
  <c r="D127" i="217" s="1"/>
  <c r="F127" i="217" s="1"/>
  <c r="D127" i="218" s="1"/>
  <c r="F127" i="218" s="1"/>
  <c r="D127" i="219" s="1"/>
  <c r="F127" i="219" s="1"/>
  <c r="C127" i="214"/>
  <c r="F126" i="214"/>
  <c r="D126" i="215" s="1"/>
  <c r="F126" i="215" s="1"/>
  <c r="D126" i="216" s="1"/>
  <c r="F126" i="216" s="1"/>
  <c r="D126" i="217" s="1"/>
  <c r="F126" i="217" s="1"/>
  <c r="D126" i="218" s="1"/>
  <c r="F126" i="218" s="1"/>
  <c r="D126" i="219" s="1"/>
  <c r="F126" i="219" s="1"/>
  <c r="C126" i="214"/>
  <c r="F125" i="214"/>
  <c r="D125" i="215" s="1"/>
  <c r="F125" i="215" s="1"/>
  <c r="D125" i="216" s="1"/>
  <c r="F125" i="216" s="1"/>
  <c r="D125" i="217" s="1"/>
  <c r="F125" i="217" s="1"/>
  <c r="D125" i="218" s="1"/>
  <c r="F125" i="218" s="1"/>
  <c r="D125" i="219" s="1"/>
  <c r="F125" i="219" s="1"/>
  <c r="C125" i="214"/>
  <c r="F124" i="214"/>
  <c r="D124" i="215" s="1"/>
  <c r="C124" i="214"/>
  <c r="C123" i="214"/>
  <c r="F122" i="214"/>
  <c r="D122" i="215" s="1"/>
  <c r="F122" i="215" s="1"/>
  <c r="D122" i="216" s="1"/>
  <c r="F122" i="216" s="1"/>
  <c r="D122" i="217" s="1"/>
  <c r="F122" i="217" s="1"/>
  <c r="D122" i="218" s="1"/>
  <c r="F122" i="218" s="1"/>
  <c r="D122" i="219" s="1"/>
  <c r="F122" i="219" s="1"/>
  <c r="C122" i="214"/>
  <c r="F121" i="214"/>
  <c r="C121" i="214"/>
  <c r="F120" i="214"/>
  <c r="D120" i="215" s="1"/>
  <c r="F120" i="215" s="1"/>
  <c r="D120" i="216" s="1"/>
  <c r="F120" i="216" s="1"/>
  <c r="D120" i="217" s="1"/>
  <c r="F120" i="217" s="1"/>
  <c r="D120" i="218" s="1"/>
  <c r="F120" i="218" s="1"/>
  <c r="D120" i="219" s="1"/>
  <c r="F120" i="219" s="1"/>
  <c r="C120" i="214"/>
  <c r="F119" i="214"/>
  <c r="D119" i="215" s="1"/>
  <c r="F119" i="215" s="1"/>
  <c r="D119" i="216" s="1"/>
  <c r="F119" i="216" s="1"/>
  <c r="D119" i="217" s="1"/>
  <c r="F119" i="217" s="1"/>
  <c r="D119" i="218" s="1"/>
  <c r="F119" i="218" s="1"/>
  <c r="D119" i="219" s="1"/>
  <c r="F119" i="219" s="1"/>
  <c r="C119" i="214"/>
  <c r="F118" i="214"/>
  <c r="D118" i="215" s="1"/>
  <c r="F118" i="215" s="1"/>
  <c r="D118" i="216" s="1"/>
  <c r="F118" i="216" s="1"/>
  <c r="D118" i="217" s="1"/>
  <c r="F118" i="217" s="1"/>
  <c r="D118" i="218" s="1"/>
  <c r="F118" i="218" s="1"/>
  <c r="D118" i="219" s="1"/>
  <c r="F118" i="219" s="1"/>
  <c r="C118" i="214"/>
  <c r="F117" i="214"/>
  <c r="D117" i="215" s="1"/>
  <c r="F117" i="215" s="1"/>
  <c r="D117" i="216" s="1"/>
  <c r="F117" i="216" s="1"/>
  <c r="D117" i="217" s="1"/>
  <c r="F117" i="217" s="1"/>
  <c r="D117" i="218" s="1"/>
  <c r="F117" i="218" s="1"/>
  <c r="D117" i="219" s="1"/>
  <c r="F117" i="219" s="1"/>
  <c r="C117" i="214"/>
  <c r="F116" i="214"/>
  <c r="D116" i="215" s="1"/>
  <c r="F116" i="215" s="1"/>
  <c r="D116" i="216" s="1"/>
  <c r="F116" i="216" s="1"/>
  <c r="D116" i="217" s="1"/>
  <c r="F116" i="217" s="1"/>
  <c r="D116" i="218" s="1"/>
  <c r="F116" i="218" s="1"/>
  <c r="D116" i="219" s="1"/>
  <c r="F116" i="219" s="1"/>
  <c r="C116" i="214"/>
  <c r="C115" i="214"/>
  <c r="F114" i="214"/>
  <c r="D114" i="215" s="1"/>
  <c r="F114" i="215" s="1"/>
  <c r="D114" i="216" s="1"/>
  <c r="F114" i="216" s="1"/>
  <c r="D114" i="217" s="1"/>
  <c r="F114" i="217" s="1"/>
  <c r="D114" i="218" s="1"/>
  <c r="F114" i="218" s="1"/>
  <c r="D114" i="219" s="1"/>
  <c r="F114" i="219" s="1"/>
  <c r="C114" i="214"/>
  <c r="F113" i="214"/>
  <c r="D113" i="215" s="1"/>
  <c r="F113" i="215" s="1"/>
  <c r="D113" i="216" s="1"/>
  <c r="F113" i="216" s="1"/>
  <c r="D113" i="217" s="1"/>
  <c r="F113" i="217" s="1"/>
  <c r="D113" i="218" s="1"/>
  <c r="F113" i="218" s="1"/>
  <c r="D113" i="219" s="1"/>
  <c r="F113" i="219" s="1"/>
  <c r="C113" i="214"/>
  <c r="F112" i="214"/>
  <c r="D112" i="215" s="1"/>
  <c r="F112" i="215" s="1"/>
  <c r="D112" i="216" s="1"/>
  <c r="F112" i="216" s="1"/>
  <c r="D112" i="217" s="1"/>
  <c r="F112" i="217" s="1"/>
  <c r="D112" i="218" s="1"/>
  <c r="F112" i="218" s="1"/>
  <c r="D112" i="219" s="1"/>
  <c r="F112" i="219" s="1"/>
  <c r="C112" i="214"/>
  <c r="F111" i="214"/>
  <c r="D111" i="215" s="1"/>
  <c r="F111" i="215" s="1"/>
  <c r="D111" i="216" s="1"/>
  <c r="F111" i="216" s="1"/>
  <c r="D111" i="217" s="1"/>
  <c r="F111" i="217" s="1"/>
  <c r="D111" i="218" s="1"/>
  <c r="F111" i="218" s="1"/>
  <c r="D111" i="219" s="1"/>
  <c r="F111" i="219" s="1"/>
  <c r="C111" i="214"/>
  <c r="F110" i="214"/>
  <c r="D110" i="215" s="1"/>
  <c r="F110" i="215" s="1"/>
  <c r="D110" i="216" s="1"/>
  <c r="F110" i="216" s="1"/>
  <c r="D110" i="217" s="1"/>
  <c r="F110" i="217" s="1"/>
  <c r="D110" i="218" s="1"/>
  <c r="F110" i="218" s="1"/>
  <c r="D110" i="219" s="1"/>
  <c r="F110" i="219" s="1"/>
  <c r="C110" i="214"/>
  <c r="F109" i="214"/>
  <c r="D109" i="215" s="1"/>
  <c r="F109" i="215" s="1"/>
  <c r="D109" i="216" s="1"/>
  <c r="F109" i="216" s="1"/>
  <c r="D109" i="217" s="1"/>
  <c r="F109" i="217" s="1"/>
  <c r="D109" i="218" s="1"/>
  <c r="F109" i="218" s="1"/>
  <c r="D109" i="219" s="1"/>
  <c r="F109" i="219" s="1"/>
  <c r="C109" i="214"/>
  <c r="F108" i="214"/>
  <c r="D108" i="215" s="1"/>
  <c r="F108" i="215" s="1"/>
  <c r="D108" i="216" s="1"/>
  <c r="F108" i="216" s="1"/>
  <c r="D108" i="217" s="1"/>
  <c r="F108" i="217" s="1"/>
  <c r="D108" i="218" s="1"/>
  <c r="F108" i="218" s="1"/>
  <c r="D108" i="219" s="1"/>
  <c r="F108" i="219" s="1"/>
  <c r="C108" i="214"/>
  <c r="C107" i="214"/>
  <c r="F106" i="214"/>
  <c r="D106" i="215" s="1"/>
  <c r="F106" i="215" s="1"/>
  <c r="D106" i="216" s="1"/>
  <c r="F106" i="216" s="1"/>
  <c r="D106" i="217" s="1"/>
  <c r="F106" i="217" s="1"/>
  <c r="D106" i="218" s="1"/>
  <c r="F106" i="218" s="1"/>
  <c r="D106" i="219" s="1"/>
  <c r="F106" i="219" s="1"/>
  <c r="C106" i="214"/>
  <c r="F105" i="214"/>
  <c r="D105" i="215" s="1"/>
  <c r="F105" i="215" s="1"/>
  <c r="D105" i="216" s="1"/>
  <c r="F105" i="216" s="1"/>
  <c r="D105" i="217" s="1"/>
  <c r="F105" i="217" s="1"/>
  <c r="D105" i="218" s="1"/>
  <c r="F105" i="218" s="1"/>
  <c r="D105" i="219" s="1"/>
  <c r="F105" i="219" s="1"/>
  <c r="C105" i="214"/>
  <c r="F104" i="214"/>
  <c r="D104" i="215" s="1"/>
  <c r="F104" i="215" s="1"/>
  <c r="D104" i="216" s="1"/>
  <c r="F104" i="216" s="1"/>
  <c r="D104" i="217" s="1"/>
  <c r="F104" i="217" s="1"/>
  <c r="D104" i="218" s="1"/>
  <c r="F104" i="218" s="1"/>
  <c r="D104" i="219" s="1"/>
  <c r="F104" i="219" s="1"/>
  <c r="C104" i="214"/>
  <c r="F103" i="214"/>
  <c r="C103" i="214"/>
  <c r="F102" i="214"/>
  <c r="D102" i="215" s="1"/>
  <c r="F102" i="215" s="1"/>
  <c r="D102" i="216" s="1"/>
  <c r="F102" i="216" s="1"/>
  <c r="D102" i="217" s="1"/>
  <c r="F102" i="217" s="1"/>
  <c r="D102" i="218" s="1"/>
  <c r="F102" i="218" s="1"/>
  <c r="D102" i="219" s="1"/>
  <c r="F102" i="219" s="1"/>
  <c r="C102" i="214"/>
  <c r="F101" i="214"/>
  <c r="D101" i="215" s="1"/>
  <c r="C101" i="214"/>
  <c r="F100" i="214"/>
  <c r="D100" i="215" s="1"/>
  <c r="F100" i="215" s="1"/>
  <c r="D100" i="216" s="1"/>
  <c r="F100" i="216" s="1"/>
  <c r="D100" i="217" s="1"/>
  <c r="F100" i="217" s="1"/>
  <c r="D100" i="218" s="1"/>
  <c r="F100" i="218" s="1"/>
  <c r="D100" i="219" s="1"/>
  <c r="F100" i="219" s="1"/>
  <c r="C100" i="214"/>
  <c r="C99" i="214"/>
  <c r="F98" i="214"/>
  <c r="D98" i="215" s="1"/>
  <c r="F98" i="215" s="1"/>
  <c r="D98" i="216" s="1"/>
  <c r="F98" i="216" s="1"/>
  <c r="D98" i="217" s="1"/>
  <c r="F98" i="217" s="1"/>
  <c r="D98" i="218" s="1"/>
  <c r="F98" i="218" s="1"/>
  <c r="D98" i="219" s="1"/>
  <c r="F98" i="219" s="1"/>
  <c r="C98" i="214"/>
  <c r="F97" i="214"/>
  <c r="D97" i="215" s="1"/>
  <c r="F97" i="215" s="1"/>
  <c r="D97" i="216" s="1"/>
  <c r="F97" i="216" s="1"/>
  <c r="D97" i="217" s="1"/>
  <c r="F97" i="217" s="1"/>
  <c r="D97" i="218" s="1"/>
  <c r="F97" i="218" s="1"/>
  <c r="D97" i="219" s="1"/>
  <c r="F97" i="219" s="1"/>
  <c r="C97" i="214"/>
  <c r="F96" i="214"/>
  <c r="D96" i="215" s="1"/>
  <c r="F96" i="215" s="1"/>
  <c r="D96" i="216" s="1"/>
  <c r="F96" i="216" s="1"/>
  <c r="D96" i="217" s="1"/>
  <c r="F96" i="217" s="1"/>
  <c r="D96" i="218" s="1"/>
  <c r="F96" i="218" s="1"/>
  <c r="D96" i="219" s="1"/>
  <c r="F96" i="219" s="1"/>
  <c r="C96" i="214"/>
  <c r="F95" i="214"/>
  <c r="D95" i="215" s="1"/>
  <c r="F95" i="215" s="1"/>
  <c r="D95" i="216" s="1"/>
  <c r="F95" i="216" s="1"/>
  <c r="D95" i="217" s="1"/>
  <c r="F95" i="217" s="1"/>
  <c r="D95" i="218" s="1"/>
  <c r="F95" i="218" s="1"/>
  <c r="D95" i="219" s="1"/>
  <c r="F95" i="219" s="1"/>
  <c r="C95" i="214"/>
  <c r="F94" i="214"/>
  <c r="D94" i="215" s="1"/>
  <c r="F94" i="215" s="1"/>
  <c r="D94" i="216" s="1"/>
  <c r="F94" i="216" s="1"/>
  <c r="D94" i="217" s="1"/>
  <c r="F94" i="217" s="1"/>
  <c r="D94" i="218" s="1"/>
  <c r="F94" i="218" s="1"/>
  <c r="D94" i="219" s="1"/>
  <c r="F94" i="219" s="1"/>
  <c r="C94" i="214"/>
  <c r="F93" i="214"/>
  <c r="D93" i="215" s="1"/>
  <c r="F93" i="215" s="1"/>
  <c r="D93" i="216" s="1"/>
  <c r="F93" i="216" s="1"/>
  <c r="D93" i="217" s="1"/>
  <c r="F93" i="217" s="1"/>
  <c r="D93" i="218" s="1"/>
  <c r="F93" i="218" s="1"/>
  <c r="D93" i="219" s="1"/>
  <c r="F93" i="219" s="1"/>
  <c r="C93" i="214"/>
  <c r="F92" i="214"/>
  <c r="D92" i="215" s="1"/>
  <c r="C92" i="214"/>
  <c r="C91" i="214"/>
  <c r="F90" i="214"/>
  <c r="D90" i="215" s="1"/>
  <c r="F90" i="215" s="1"/>
  <c r="D90" i="216" s="1"/>
  <c r="F90" i="216" s="1"/>
  <c r="D90" i="217" s="1"/>
  <c r="F90" i="217" s="1"/>
  <c r="D90" i="218" s="1"/>
  <c r="F90" i="218" s="1"/>
  <c r="D90" i="219" s="1"/>
  <c r="F90" i="219" s="1"/>
  <c r="C90" i="214"/>
  <c r="F89" i="214"/>
  <c r="D89" i="215" s="1"/>
  <c r="F89" i="215" s="1"/>
  <c r="D89" i="216" s="1"/>
  <c r="F89" i="216" s="1"/>
  <c r="D89" i="217" s="1"/>
  <c r="F89" i="217" s="1"/>
  <c r="D89" i="218" s="1"/>
  <c r="F89" i="218" s="1"/>
  <c r="D89" i="219" s="1"/>
  <c r="F89" i="219" s="1"/>
  <c r="C89" i="214"/>
  <c r="F88" i="214"/>
  <c r="D88" i="215" s="1"/>
  <c r="F88" i="215" s="1"/>
  <c r="D88" i="216" s="1"/>
  <c r="F88" i="216" s="1"/>
  <c r="D88" i="217" s="1"/>
  <c r="F88" i="217" s="1"/>
  <c r="D88" i="218" s="1"/>
  <c r="F88" i="218" s="1"/>
  <c r="D88" i="219" s="1"/>
  <c r="F88" i="219" s="1"/>
  <c r="C88" i="214"/>
  <c r="F87" i="214"/>
  <c r="D87" i="215" s="1"/>
  <c r="F87" i="215" s="1"/>
  <c r="D87" i="216" s="1"/>
  <c r="F87" i="216" s="1"/>
  <c r="D87" i="217" s="1"/>
  <c r="F87" i="217" s="1"/>
  <c r="D87" i="218" s="1"/>
  <c r="F87" i="218" s="1"/>
  <c r="D87" i="219" s="1"/>
  <c r="F87" i="219" s="1"/>
  <c r="C87" i="214"/>
  <c r="F86" i="214"/>
  <c r="D86" i="215" s="1"/>
  <c r="F86" i="215" s="1"/>
  <c r="D86" i="216" s="1"/>
  <c r="F86" i="216" s="1"/>
  <c r="D86" i="217" s="1"/>
  <c r="F86" i="217" s="1"/>
  <c r="D86" i="218" s="1"/>
  <c r="F86" i="218" s="1"/>
  <c r="D86" i="219" s="1"/>
  <c r="F86" i="219" s="1"/>
  <c r="C86" i="214"/>
  <c r="F85" i="214"/>
  <c r="D85" i="215" s="1"/>
  <c r="F85" i="215" s="1"/>
  <c r="D85" i="216" s="1"/>
  <c r="F85" i="216" s="1"/>
  <c r="D85" i="217" s="1"/>
  <c r="F85" i="217" s="1"/>
  <c r="D85" i="218" s="1"/>
  <c r="F85" i="218" s="1"/>
  <c r="D85" i="219" s="1"/>
  <c r="F85" i="219" s="1"/>
  <c r="C85" i="214"/>
  <c r="F84" i="214"/>
  <c r="D84" i="215" s="1"/>
  <c r="F84" i="215" s="1"/>
  <c r="D84" i="216" s="1"/>
  <c r="F84" i="216" s="1"/>
  <c r="D84" i="217" s="1"/>
  <c r="F84" i="217" s="1"/>
  <c r="D84" i="218" s="1"/>
  <c r="F84" i="218" s="1"/>
  <c r="D84" i="219" s="1"/>
  <c r="F84" i="219" s="1"/>
  <c r="C84" i="214"/>
  <c r="C83" i="214"/>
  <c r="F82" i="214"/>
  <c r="D82" i="215" s="1"/>
  <c r="F82" i="215" s="1"/>
  <c r="D82" i="216" s="1"/>
  <c r="F82" i="216" s="1"/>
  <c r="D82" i="217" s="1"/>
  <c r="F82" i="217" s="1"/>
  <c r="D82" i="218" s="1"/>
  <c r="F82" i="218" s="1"/>
  <c r="D82" i="219" s="1"/>
  <c r="F82" i="219" s="1"/>
  <c r="C82" i="214"/>
  <c r="F81" i="214"/>
  <c r="D81" i="215" s="1"/>
  <c r="F81" i="215" s="1"/>
  <c r="D81" i="216" s="1"/>
  <c r="F81" i="216" s="1"/>
  <c r="D81" i="217" s="1"/>
  <c r="F81" i="217" s="1"/>
  <c r="D81" i="218" s="1"/>
  <c r="F81" i="218" s="1"/>
  <c r="D81" i="219" s="1"/>
  <c r="F81" i="219" s="1"/>
  <c r="C81" i="214"/>
  <c r="F80" i="214"/>
  <c r="C80" i="214"/>
  <c r="F79" i="214"/>
  <c r="D79" i="215" s="1"/>
  <c r="F79" i="215" s="1"/>
  <c r="D79" i="216" s="1"/>
  <c r="F79" i="216" s="1"/>
  <c r="D79" i="217" s="1"/>
  <c r="F79" i="217" s="1"/>
  <c r="D79" i="218" s="1"/>
  <c r="F79" i="218" s="1"/>
  <c r="D79" i="219" s="1"/>
  <c r="F79" i="219" s="1"/>
  <c r="C79" i="214"/>
  <c r="F78" i="214"/>
  <c r="D78" i="215" s="1"/>
  <c r="F78" i="215" s="1"/>
  <c r="D78" i="216" s="1"/>
  <c r="F78" i="216" s="1"/>
  <c r="D78" i="217" s="1"/>
  <c r="F78" i="217" s="1"/>
  <c r="D78" i="218" s="1"/>
  <c r="F78" i="218" s="1"/>
  <c r="D78" i="219" s="1"/>
  <c r="F78" i="219" s="1"/>
  <c r="C78" i="214"/>
  <c r="F77" i="214"/>
  <c r="D77" i="215" s="1"/>
  <c r="F77" i="215" s="1"/>
  <c r="D77" i="216" s="1"/>
  <c r="F77" i="216" s="1"/>
  <c r="D77" i="217" s="1"/>
  <c r="F77" i="217" s="1"/>
  <c r="D77" i="218" s="1"/>
  <c r="F77" i="218" s="1"/>
  <c r="D77" i="219" s="1"/>
  <c r="F77" i="219" s="1"/>
  <c r="C77" i="214"/>
  <c r="F76" i="214"/>
  <c r="D76" i="215" s="1"/>
  <c r="F76" i="215" s="1"/>
  <c r="D76" i="216" s="1"/>
  <c r="F76" i="216" s="1"/>
  <c r="D76" i="217" s="1"/>
  <c r="F76" i="217" s="1"/>
  <c r="D76" i="218" s="1"/>
  <c r="F76" i="218" s="1"/>
  <c r="D76" i="219" s="1"/>
  <c r="F76" i="219" s="1"/>
  <c r="C76" i="214"/>
  <c r="C75" i="214"/>
  <c r="F74" i="214"/>
  <c r="D74" i="215" s="1"/>
  <c r="F74" i="215" s="1"/>
  <c r="D74" i="216" s="1"/>
  <c r="F74" i="216" s="1"/>
  <c r="D74" i="217" s="1"/>
  <c r="F74" i="217" s="1"/>
  <c r="D74" i="218" s="1"/>
  <c r="F74" i="218" s="1"/>
  <c r="D74" i="219" s="1"/>
  <c r="F74" i="219" s="1"/>
  <c r="C74" i="214"/>
  <c r="F73" i="214"/>
  <c r="D73" i="215" s="1"/>
  <c r="F73" i="215" s="1"/>
  <c r="D73" i="216" s="1"/>
  <c r="F73" i="216" s="1"/>
  <c r="D73" i="217" s="1"/>
  <c r="F73" i="217" s="1"/>
  <c r="D73" i="218" s="1"/>
  <c r="F73" i="218" s="1"/>
  <c r="D73" i="219" s="1"/>
  <c r="F73" i="219" s="1"/>
  <c r="C73" i="214"/>
  <c r="F72" i="214"/>
  <c r="D72" i="215" s="1"/>
  <c r="F72" i="215" s="1"/>
  <c r="D72" i="216" s="1"/>
  <c r="F72" i="216" s="1"/>
  <c r="D72" i="217" s="1"/>
  <c r="F72" i="217" s="1"/>
  <c r="D72" i="218" s="1"/>
  <c r="F72" i="218" s="1"/>
  <c r="D72" i="219" s="1"/>
  <c r="F72" i="219" s="1"/>
  <c r="C72" i="214"/>
  <c r="F71" i="214"/>
  <c r="D71" i="215" s="1"/>
  <c r="F71" i="215" s="1"/>
  <c r="D71" i="216" s="1"/>
  <c r="F71" i="216" s="1"/>
  <c r="D71" i="217" s="1"/>
  <c r="F71" i="217" s="1"/>
  <c r="D71" i="218" s="1"/>
  <c r="F71" i="218" s="1"/>
  <c r="D71" i="219" s="1"/>
  <c r="F71" i="219" s="1"/>
  <c r="C71" i="214"/>
  <c r="F70" i="214"/>
  <c r="D70" i="215" s="1"/>
  <c r="F70" i="215" s="1"/>
  <c r="D70" i="216" s="1"/>
  <c r="F70" i="216" s="1"/>
  <c r="D70" i="217" s="1"/>
  <c r="F70" i="217" s="1"/>
  <c r="D70" i="218" s="1"/>
  <c r="F70" i="218" s="1"/>
  <c r="D70" i="219" s="1"/>
  <c r="F70" i="219" s="1"/>
  <c r="C70" i="214"/>
  <c r="F69" i="214"/>
  <c r="D69" i="215" s="1"/>
  <c r="C69" i="214"/>
  <c r="F68" i="214"/>
  <c r="D68" i="215" s="1"/>
  <c r="F68" i="215" s="1"/>
  <c r="D68" i="216" s="1"/>
  <c r="F68" i="216" s="1"/>
  <c r="D68" i="217" s="1"/>
  <c r="F68" i="217" s="1"/>
  <c r="D68" i="218" s="1"/>
  <c r="F68" i="218" s="1"/>
  <c r="D68" i="219" s="1"/>
  <c r="F68" i="219" s="1"/>
  <c r="C68" i="214"/>
  <c r="C67" i="214"/>
  <c r="F66" i="214"/>
  <c r="D66" i="215" s="1"/>
  <c r="F66" i="215" s="1"/>
  <c r="D66" i="216" s="1"/>
  <c r="F66" i="216" s="1"/>
  <c r="D66" i="217" s="1"/>
  <c r="F66" i="217" s="1"/>
  <c r="D66" i="218" s="1"/>
  <c r="F66" i="218" s="1"/>
  <c r="D66" i="219" s="1"/>
  <c r="F66" i="219" s="1"/>
  <c r="C66" i="214"/>
  <c r="F65" i="214"/>
  <c r="D65" i="215" s="1"/>
  <c r="F65" i="215" s="1"/>
  <c r="D65" i="216" s="1"/>
  <c r="F65" i="216" s="1"/>
  <c r="D65" i="217" s="1"/>
  <c r="F65" i="217" s="1"/>
  <c r="D65" i="218" s="1"/>
  <c r="F65" i="218" s="1"/>
  <c r="D65" i="219" s="1"/>
  <c r="F65" i="219" s="1"/>
  <c r="C65" i="214"/>
  <c r="F64" i="214"/>
  <c r="D64" i="215" s="1"/>
  <c r="F64" i="215" s="1"/>
  <c r="D64" i="216" s="1"/>
  <c r="F64" i="216" s="1"/>
  <c r="D64" i="217" s="1"/>
  <c r="F64" i="217" s="1"/>
  <c r="D64" i="218" s="1"/>
  <c r="F64" i="218" s="1"/>
  <c r="D64" i="219" s="1"/>
  <c r="F64" i="219" s="1"/>
  <c r="C64" i="214"/>
  <c r="F63" i="214"/>
  <c r="D63" i="215" s="1"/>
  <c r="F63" i="215" s="1"/>
  <c r="D63" i="216" s="1"/>
  <c r="F63" i="216" s="1"/>
  <c r="D63" i="217" s="1"/>
  <c r="F63" i="217" s="1"/>
  <c r="D63" i="218" s="1"/>
  <c r="F63" i="218" s="1"/>
  <c r="D63" i="219" s="1"/>
  <c r="F63" i="219" s="1"/>
  <c r="C63" i="214"/>
  <c r="F62" i="214"/>
  <c r="D62" i="215" s="1"/>
  <c r="F62" i="215" s="1"/>
  <c r="D62" i="216" s="1"/>
  <c r="F62" i="216" s="1"/>
  <c r="D62" i="217" s="1"/>
  <c r="F62" i="217" s="1"/>
  <c r="D62" i="218" s="1"/>
  <c r="F62" i="218" s="1"/>
  <c r="D62" i="219" s="1"/>
  <c r="F62" i="219" s="1"/>
  <c r="C62" i="214"/>
  <c r="F61" i="214"/>
  <c r="D61" i="215" s="1"/>
  <c r="F61" i="215" s="1"/>
  <c r="D61" i="216" s="1"/>
  <c r="F61" i="216" s="1"/>
  <c r="D61" i="217" s="1"/>
  <c r="F61" i="217" s="1"/>
  <c r="D61" i="218" s="1"/>
  <c r="F61" i="218" s="1"/>
  <c r="D61" i="219" s="1"/>
  <c r="F61" i="219" s="1"/>
  <c r="C61" i="214"/>
  <c r="F60" i="214"/>
  <c r="D60" i="215" s="1"/>
  <c r="C60" i="214"/>
  <c r="C59" i="214"/>
  <c r="F58" i="214"/>
  <c r="D58" i="215" s="1"/>
  <c r="F58" i="215" s="1"/>
  <c r="D58" i="216" s="1"/>
  <c r="F58" i="216" s="1"/>
  <c r="D58" i="217" s="1"/>
  <c r="F58" i="217" s="1"/>
  <c r="D58" i="218" s="1"/>
  <c r="F58" i="218" s="1"/>
  <c r="D58" i="219" s="1"/>
  <c r="F58" i="219" s="1"/>
  <c r="C58" i="214"/>
  <c r="F57" i="214"/>
  <c r="D57" i="215" s="1"/>
  <c r="F57" i="215" s="1"/>
  <c r="D57" i="216" s="1"/>
  <c r="F57" i="216" s="1"/>
  <c r="D57" i="217" s="1"/>
  <c r="F57" i="217" s="1"/>
  <c r="D57" i="218" s="1"/>
  <c r="F57" i="218" s="1"/>
  <c r="D57" i="219" s="1"/>
  <c r="F57" i="219" s="1"/>
  <c r="C57" i="214"/>
  <c r="F56" i="214"/>
  <c r="D56" i="215" s="1"/>
  <c r="F56" i="215" s="1"/>
  <c r="D56" i="216" s="1"/>
  <c r="F56" i="216" s="1"/>
  <c r="D56" i="217" s="1"/>
  <c r="F56" i="217" s="1"/>
  <c r="D56" i="218" s="1"/>
  <c r="F56" i="218" s="1"/>
  <c r="D56" i="219" s="1"/>
  <c r="F56" i="219" s="1"/>
  <c r="C56" i="214"/>
  <c r="F55" i="214"/>
  <c r="D55" i="215" s="1"/>
  <c r="F55" i="215" s="1"/>
  <c r="D55" i="216" s="1"/>
  <c r="F55" i="216" s="1"/>
  <c r="D55" i="217" s="1"/>
  <c r="F55" i="217" s="1"/>
  <c r="D55" i="218" s="1"/>
  <c r="F55" i="218" s="1"/>
  <c r="D55" i="219" s="1"/>
  <c r="F55" i="219" s="1"/>
  <c r="C55" i="214"/>
  <c r="F54" i="214"/>
  <c r="D54" i="215" s="1"/>
  <c r="F54" i="215" s="1"/>
  <c r="D54" i="216" s="1"/>
  <c r="F54" i="216" s="1"/>
  <c r="D54" i="217" s="1"/>
  <c r="F54" i="217" s="1"/>
  <c r="D54" i="218" s="1"/>
  <c r="F54" i="218" s="1"/>
  <c r="D54" i="219" s="1"/>
  <c r="F54" i="219" s="1"/>
  <c r="C54" i="214"/>
  <c r="F53" i="214"/>
  <c r="D53" i="215" s="1"/>
  <c r="F53" i="215" s="1"/>
  <c r="D53" i="216" s="1"/>
  <c r="F53" i="216" s="1"/>
  <c r="D53" i="217" s="1"/>
  <c r="F53" i="217" s="1"/>
  <c r="D53" i="218" s="1"/>
  <c r="F53" i="218" s="1"/>
  <c r="D53" i="219" s="1"/>
  <c r="F53" i="219" s="1"/>
  <c r="C53" i="214"/>
  <c r="F52" i="214"/>
  <c r="D52" i="215" s="1"/>
  <c r="F52" i="215" s="1"/>
  <c r="D52" i="216" s="1"/>
  <c r="F52" i="216" s="1"/>
  <c r="D52" i="217" s="1"/>
  <c r="F52" i="217" s="1"/>
  <c r="D52" i="218" s="1"/>
  <c r="F52" i="218" s="1"/>
  <c r="D52" i="219" s="1"/>
  <c r="F52" i="219" s="1"/>
  <c r="C52" i="214"/>
  <c r="C51" i="214"/>
  <c r="F50" i="214"/>
  <c r="D50" i="215" s="1"/>
  <c r="F50" i="215" s="1"/>
  <c r="D50" i="216" s="1"/>
  <c r="F50" i="216" s="1"/>
  <c r="D50" i="217" s="1"/>
  <c r="F50" i="217" s="1"/>
  <c r="D50" i="218" s="1"/>
  <c r="F50" i="218" s="1"/>
  <c r="D50" i="219" s="1"/>
  <c r="F50" i="219" s="1"/>
  <c r="C50" i="214"/>
  <c r="F49" i="214"/>
  <c r="D49" i="215" s="1"/>
  <c r="F49" i="215" s="1"/>
  <c r="D49" i="216" s="1"/>
  <c r="F49" i="216" s="1"/>
  <c r="D49" i="217" s="1"/>
  <c r="F49" i="217" s="1"/>
  <c r="D49" i="218" s="1"/>
  <c r="F49" i="218" s="1"/>
  <c r="D49" i="219" s="1"/>
  <c r="F49" i="219" s="1"/>
  <c r="C49" i="214"/>
  <c r="F48" i="214"/>
  <c r="D48" i="215" s="1"/>
  <c r="F48" i="215" s="1"/>
  <c r="D48" i="216" s="1"/>
  <c r="F48" i="216" s="1"/>
  <c r="D48" i="217" s="1"/>
  <c r="F48" i="217" s="1"/>
  <c r="D48" i="218" s="1"/>
  <c r="F48" i="218" s="1"/>
  <c r="D48" i="219" s="1"/>
  <c r="F48" i="219" s="1"/>
  <c r="C48" i="214"/>
  <c r="F47" i="214"/>
  <c r="D47" i="215" s="1"/>
  <c r="F47" i="215" s="1"/>
  <c r="D47" i="216" s="1"/>
  <c r="F47" i="216" s="1"/>
  <c r="D47" i="217" s="1"/>
  <c r="F47" i="217" s="1"/>
  <c r="D47" i="218" s="1"/>
  <c r="F47" i="218" s="1"/>
  <c r="D47" i="219" s="1"/>
  <c r="F47" i="219" s="1"/>
  <c r="C47" i="214"/>
  <c r="F46" i="214"/>
  <c r="D46" i="215" s="1"/>
  <c r="F46" i="215" s="1"/>
  <c r="D46" i="216" s="1"/>
  <c r="F46" i="216" s="1"/>
  <c r="D46" i="217" s="1"/>
  <c r="F46" i="217" s="1"/>
  <c r="D46" i="218" s="1"/>
  <c r="F46" i="218" s="1"/>
  <c r="D46" i="219" s="1"/>
  <c r="F46" i="219" s="1"/>
  <c r="C46" i="214"/>
  <c r="F45" i="214"/>
  <c r="D45" i="215" s="1"/>
  <c r="F45" i="215" s="1"/>
  <c r="D45" i="216" s="1"/>
  <c r="F45" i="216" s="1"/>
  <c r="D45" i="217" s="1"/>
  <c r="F45" i="217" s="1"/>
  <c r="D45" i="218" s="1"/>
  <c r="F45" i="218" s="1"/>
  <c r="D45" i="219" s="1"/>
  <c r="F45" i="219" s="1"/>
  <c r="C45" i="214"/>
  <c r="F44" i="214"/>
  <c r="D44" i="215" s="1"/>
  <c r="F44" i="215" s="1"/>
  <c r="D44" i="216" s="1"/>
  <c r="F44" i="216" s="1"/>
  <c r="D44" i="217" s="1"/>
  <c r="F44" i="217" s="1"/>
  <c r="D44" i="218" s="1"/>
  <c r="F44" i="218" s="1"/>
  <c r="D44" i="219" s="1"/>
  <c r="F44" i="219" s="1"/>
  <c r="C44" i="214"/>
  <c r="C43" i="214"/>
  <c r="F42" i="214"/>
  <c r="D42" i="215" s="1"/>
  <c r="F42" i="215" s="1"/>
  <c r="D42" i="216" s="1"/>
  <c r="F42" i="216" s="1"/>
  <c r="D42" i="217" s="1"/>
  <c r="F42" i="217" s="1"/>
  <c r="D42" i="218" s="1"/>
  <c r="F42" i="218" s="1"/>
  <c r="D42" i="219" s="1"/>
  <c r="F42" i="219" s="1"/>
  <c r="C42" i="214"/>
  <c r="F41" i="214"/>
  <c r="D41" i="215" s="1"/>
  <c r="F41" i="215" s="1"/>
  <c r="D41" i="216" s="1"/>
  <c r="F41" i="216" s="1"/>
  <c r="D41" i="217" s="1"/>
  <c r="F41" i="217" s="1"/>
  <c r="D41" i="218" s="1"/>
  <c r="F41" i="218" s="1"/>
  <c r="D41" i="219" s="1"/>
  <c r="F41" i="219" s="1"/>
  <c r="C41" i="214"/>
  <c r="F40" i="214"/>
  <c r="D40" i="215" s="1"/>
  <c r="F40" i="215" s="1"/>
  <c r="D40" i="216" s="1"/>
  <c r="F40" i="216" s="1"/>
  <c r="D40" i="217" s="1"/>
  <c r="F40" i="217" s="1"/>
  <c r="D40" i="218" s="1"/>
  <c r="F40" i="218" s="1"/>
  <c r="D40" i="219" s="1"/>
  <c r="F40" i="219" s="1"/>
  <c r="C40" i="214"/>
  <c r="F39" i="214"/>
  <c r="C39" i="214"/>
  <c r="F38" i="214"/>
  <c r="D38" i="215" s="1"/>
  <c r="F38" i="215" s="1"/>
  <c r="D38" i="216" s="1"/>
  <c r="F38" i="216" s="1"/>
  <c r="D38" i="217" s="1"/>
  <c r="F38" i="217" s="1"/>
  <c r="D38" i="218" s="1"/>
  <c r="F38" i="218" s="1"/>
  <c r="D38" i="219" s="1"/>
  <c r="F38" i="219" s="1"/>
  <c r="C38" i="214"/>
  <c r="F37" i="214"/>
  <c r="D37" i="215" s="1"/>
  <c r="C37" i="214"/>
  <c r="F36" i="214"/>
  <c r="D36" i="215" s="1"/>
  <c r="F36" i="215" s="1"/>
  <c r="D36" i="216" s="1"/>
  <c r="F36" i="216" s="1"/>
  <c r="D36" i="217" s="1"/>
  <c r="F36" i="217" s="1"/>
  <c r="D36" i="218" s="1"/>
  <c r="F36" i="218" s="1"/>
  <c r="D36" i="219" s="1"/>
  <c r="F36" i="219" s="1"/>
  <c r="C36" i="214"/>
  <c r="C35" i="214"/>
  <c r="F34" i="214"/>
  <c r="D34" i="215" s="1"/>
  <c r="F34" i="215" s="1"/>
  <c r="D34" i="216" s="1"/>
  <c r="F34" i="216" s="1"/>
  <c r="D34" i="217" s="1"/>
  <c r="F34" i="217" s="1"/>
  <c r="D34" i="218" s="1"/>
  <c r="F34" i="218" s="1"/>
  <c r="D34" i="219" s="1"/>
  <c r="F34" i="219" s="1"/>
  <c r="C34" i="214"/>
  <c r="F33" i="214"/>
  <c r="D33" i="215" s="1"/>
  <c r="F33" i="215" s="1"/>
  <c r="D33" i="216" s="1"/>
  <c r="F33" i="216" s="1"/>
  <c r="D33" i="217" s="1"/>
  <c r="F33" i="217" s="1"/>
  <c r="D33" i="218" s="1"/>
  <c r="F33" i="218" s="1"/>
  <c r="D33" i="219" s="1"/>
  <c r="F33" i="219" s="1"/>
  <c r="C33" i="214"/>
  <c r="F32" i="214"/>
  <c r="D32" i="215" s="1"/>
  <c r="F32" i="215" s="1"/>
  <c r="D32" i="216" s="1"/>
  <c r="F32" i="216" s="1"/>
  <c r="D32" i="217" s="1"/>
  <c r="F32" i="217" s="1"/>
  <c r="D32" i="218" s="1"/>
  <c r="F32" i="218" s="1"/>
  <c r="D32" i="219" s="1"/>
  <c r="F32" i="219" s="1"/>
  <c r="C32" i="214"/>
  <c r="F31" i="214"/>
  <c r="D31" i="215" s="1"/>
  <c r="F31" i="215" s="1"/>
  <c r="D31" i="216" s="1"/>
  <c r="F31" i="216" s="1"/>
  <c r="D31" i="217" s="1"/>
  <c r="F31" i="217" s="1"/>
  <c r="D31" i="218" s="1"/>
  <c r="F31" i="218" s="1"/>
  <c r="D31" i="219" s="1"/>
  <c r="F31" i="219" s="1"/>
  <c r="C31" i="214"/>
  <c r="F30" i="214"/>
  <c r="D30" i="215" s="1"/>
  <c r="F30" i="215" s="1"/>
  <c r="D30" i="216" s="1"/>
  <c r="F30" i="216" s="1"/>
  <c r="D30" i="217" s="1"/>
  <c r="F30" i="217" s="1"/>
  <c r="D30" i="218" s="1"/>
  <c r="F30" i="218" s="1"/>
  <c r="D30" i="219" s="1"/>
  <c r="F30" i="219" s="1"/>
  <c r="C30" i="214"/>
  <c r="F29" i="214"/>
  <c r="D29" i="215" s="1"/>
  <c r="F29" i="215" s="1"/>
  <c r="D29" i="216" s="1"/>
  <c r="F29" i="216" s="1"/>
  <c r="D29" i="217" s="1"/>
  <c r="F29" i="217" s="1"/>
  <c r="D29" i="218" s="1"/>
  <c r="F29" i="218" s="1"/>
  <c r="D29" i="219" s="1"/>
  <c r="F29" i="219" s="1"/>
  <c r="C29" i="214"/>
  <c r="F28" i="214"/>
  <c r="D28" i="215" s="1"/>
  <c r="F28" i="215" s="1"/>
  <c r="D28" i="216" s="1"/>
  <c r="F28" i="216" s="1"/>
  <c r="D28" i="217" s="1"/>
  <c r="F28" i="217" s="1"/>
  <c r="D28" i="218" s="1"/>
  <c r="F28" i="218" s="1"/>
  <c r="D28" i="219" s="1"/>
  <c r="F28" i="219" s="1"/>
  <c r="C28" i="214"/>
  <c r="C27" i="214"/>
  <c r="F26" i="214"/>
  <c r="D26" i="215" s="1"/>
  <c r="F26" i="215" s="1"/>
  <c r="D26" i="216" s="1"/>
  <c r="F26" i="216" s="1"/>
  <c r="D26" i="217" s="1"/>
  <c r="F26" i="217" s="1"/>
  <c r="D26" i="218" s="1"/>
  <c r="F26" i="218" s="1"/>
  <c r="D26" i="219" s="1"/>
  <c r="F26" i="219" s="1"/>
  <c r="C26" i="214"/>
  <c r="F25" i="214"/>
  <c r="D25" i="215" s="1"/>
  <c r="F25" i="215" s="1"/>
  <c r="D25" i="216" s="1"/>
  <c r="F25" i="216" s="1"/>
  <c r="D25" i="217" s="1"/>
  <c r="F25" i="217" s="1"/>
  <c r="D25" i="218" s="1"/>
  <c r="F25" i="218" s="1"/>
  <c r="D25" i="219" s="1"/>
  <c r="F25" i="219" s="1"/>
  <c r="C25" i="214"/>
  <c r="F24" i="214"/>
  <c r="D24" i="215" s="1"/>
  <c r="F24" i="215" s="1"/>
  <c r="D24" i="216" s="1"/>
  <c r="F24" i="216" s="1"/>
  <c r="D24" i="217" s="1"/>
  <c r="F24" i="217" s="1"/>
  <c r="D24" i="218" s="1"/>
  <c r="F24" i="218" s="1"/>
  <c r="D24" i="219" s="1"/>
  <c r="F24" i="219" s="1"/>
  <c r="C24" i="214"/>
  <c r="F23" i="214"/>
  <c r="D23" i="215" s="1"/>
  <c r="F23" i="215" s="1"/>
  <c r="D23" i="216" s="1"/>
  <c r="F23" i="216" s="1"/>
  <c r="D23" i="217" s="1"/>
  <c r="F23" i="217" s="1"/>
  <c r="D23" i="218" s="1"/>
  <c r="F23" i="218" s="1"/>
  <c r="D23" i="219" s="1"/>
  <c r="F23" i="219" s="1"/>
  <c r="C23" i="214"/>
  <c r="F22" i="214"/>
  <c r="D22" i="215" s="1"/>
  <c r="F22" i="215" s="1"/>
  <c r="D22" i="216" s="1"/>
  <c r="F22" i="216" s="1"/>
  <c r="D22" i="217" s="1"/>
  <c r="F22" i="217" s="1"/>
  <c r="D22" i="218" s="1"/>
  <c r="F22" i="218" s="1"/>
  <c r="D22" i="219" s="1"/>
  <c r="F22" i="219" s="1"/>
  <c r="C22" i="214"/>
  <c r="F21" i="214"/>
  <c r="D21" i="215" s="1"/>
  <c r="F21" i="215" s="1"/>
  <c r="D21" i="216" s="1"/>
  <c r="F21" i="216" s="1"/>
  <c r="D21" i="217" s="1"/>
  <c r="F21" i="217" s="1"/>
  <c r="D21" i="218" s="1"/>
  <c r="F21" i="218" s="1"/>
  <c r="D21" i="219" s="1"/>
  <c r="F21" i="219" s="1"/>
  <c r="C21" i="214"/>
  <c r="F20" i="214"/>
  <c r="D20" i="215" s="1"/>
  <c r="F20" i="215" s="1"/>
  <c r="D20" i="216" s="1"/>
  <c r="F20" i="216" s="1"/>
  <c r="D20" i="217" s="1"/>
  <c r="F20" i="217" s="1"/>
  <c r="D20" i="218" s="1"/>
  <c r="F20" i="218" s="1"/>
  <c r="D20" i="219" s="1"/>
  <c r="F20" i="219" s="1"/>
  <c r="C20" i="214"/>
  <c r="C19" i="214"/>
  <c r="F18" i="214"/>
  <c r="D18" i="215" s="1"/>
  <c r="F18" i="215" s="1"/>
  <c r="D18" i="216" s="1"/>
  <c r="F18" i="216" s="1"/>
  <c r="D18" i="217" s="1"/>
  <c r="F18" i="217" s="1"/>
  <c r="D18" i="218" s="1"/>
  <c r="F18" i="218" s="1"/>
  <c r="D18" i="219" s="1"/>
  <c r="F18" i="219" s="1"/>
  <c r="C18" i="214"/>
  <c r="F17" i="214"/>
  <c r="D17" i="215" s="1"/>
  <c r="F17" i="215" s="1"/>
  <c r="D17" i="216" s="1"/>
  <c r="F17" i="216" s="1"/>
  <c r="D17" i="217" s="1"/>
  <c r="F17" i="217" s="1"/>
  <c r="D17" i="218" s="1"/>
  <c r="F17" i="218" s="1"/>
  <c r="D17" i="219" s="1"/>
  <c r="F17" i="219" s="1"/>
  <c r="C17" i="214"/>
  <c r="F16" i="214"/>
  <c r="C16" i="214"/>
  <c r="F15" i="214"/>
  <c r="D15" i="215" s="1"/>
  <c r="F15" i="215" s="1"/>
  <c r="D15" i="216" s="1"/>
  <c r="F15" i="216" s="1"/>
  <c r="D15" i="217" s="1"/>
  <c r="F15" i="217" s="1"/>
  <c r="D15" i="218" s="1"/>
  <c r="F15" i="218" s="1"/>
  <c r="D15" i="219" s="1"/>
  <c r="F15" i="219" s="1"/>
  <c r="C15" i="214"/>
  <c r="F14" i="214"/>
  <c r="D14" i="215" s="1"/>
  <c r="F14" i="215" s="1"/>
  <c r="D14" i="216" s="1"/>
  <c r="F14" i="216" s="1"/>
  <c r="D14" i="217" s="1"/>
  <c r="F14" i="217" s="1"/>
  <c r="D14" i="218" s="1"/>
  <c r="F14" i="218" s="1"/>
  <c r="D14" i="219" s="1"/>
  <c r="F14" i="219" s="1"/>
  <c r="C14" i="214"/>
  <c r="F13" i="214"/>
  <c r="D13" i="215" s="1"/>
  <c r="F13" i="215" s="1"/>
  <c r="D13" i="216" s="1"/>
  <c r="F13" i="216" s="1"/>
  <c r="D13" i="217" s="1"/>
  <c r="F13" i="217" s="1"/>
  <c r="D13" i="218" s="1"/>
  <c r="F13" i="218" s="1"/>
  <c r="D13" i="219" s="1"/>
  <c r="F13" i="219" s="1"/>
  <c r="C13" i="214"/>
  <c r="F12" i="214"/>
  <c r="D12" i="215" s="1"/>
  <c r="F12" i="215" s="1"/>
  <c r="D12" i="216" s="1"/>
  <c r="F12" i="216" s="1"/>
  <c r="D12" i="217" s="1"/>
  <c r="F12" i="217" s="1"/>
  <c r="D12" i="218" s="1"/>
  <c r="F12" i="218" s="1"/>
  <c r="D12" i="219" s="1"/>
  <c r="F12" i="219" s="1"/>
  <c r="C12" i="214"/>
  <c r="C11" i="214"/>
  <c r="F10" i="214"/>
  <c r="D10" i="215" s="1"/>
  <c r="F10" i="215" s="1"/>
  <c r="D10" i="216" s="1"/>
  <c r="F10" i="216" s="1"/>
  <c r="D10" i="217" s="1"/>
  <c r="F10" i="217" s="1"/>
  <c r="D10" i="218" s="1"/>
  <c r="F10" i="218" s="1"/>
  <c r="D10" i="219" s="1"/>
  <c r="F10" i="219" s="1"/>
  <c r="C10" i="214"/>
  <c r="F9" i="214"/>
  <c r="D9" i="215" s="1"/>
  <c r="F9" i="215" s="1"/>
  <c r="D9" i="216" s="1"/>
  <c r="F9" i="216" s="1"/>
  <c r="D9" i="217" s="1"/>
  <c r="F9" i="217" s="1"/>
  <c r="D9" i="218" s="1"/>
  <c r="F9" i="218" s="1"/>
  <c r="D9" i="219" s="1"/>
  <c r="F9" i="219" s="1"/>
  <c r="C9" i="214"/>
  <c r="F8" i="214"/>
  <c r="D8" i="215" s="1"/>
  <c r="F8" i="215" s="1"/>
  <c r="D8" i="216" s="1"/>
  <c r="F8" i="216" s="1"/>
  <c r="D8" i="217" s="1"/>
  <c r="F8" i="217" s="1"/>
  <c r="D8" i="218" s="1"/>
  <c r="F8" i="218" s="1"/>
  <c r="D8" i="219" s="1"/>
  <c r="F8" i="219" s="1"/>
  <c r="C8" i="214"/>
  <c r="F7" i="214"/>
  <c r="D7" i="215" s="1"/>
  <c r="F7" i="215" s="1"/>
  <c r="D7" i="216" s="1"/>
  <c r="F7" i="216" s="1"/>
  <c r="D7" i="217" s="1"/>
  <c r="F7" i="217" s="1"/>
  <c r="D7" i="218" s="1"/>
  <c r="F7" i="218" s="1"/>
  <c r="D7" i="219" s="1"/>
  <c r="F7" i="219" s="1"/>
  <c r="C7" i="214"/>
  <c r="F6" i="214"/>
  <c r="D6" i="215" s="1"/>
  <c r="F6" i="215" s="1"/>
  <c r="D6" i="216" s="1"/>
  <c r="F6" i="216" s="1"/>
  <c r="D6" i="217" s="1"/>
  <c r="F6" i="217" s="1"/>
  <c r="D6" i="218" s="1"/>
  <c r="F6" i="218" s="1"/>
  <c r="D6" i="219" s="1"/>
  <c r="F6" i="219" s="1"/>
  <c r="C6" i="214"/>
  <c r="F5" i="214"/>
  <c r="D5" i="215" s="1"/>
  <c r="F5" i="215" s="1"/>
  <c r="D5" i="216" s="1"/>
  <c r="F5" i="216" s="1"/>
  <c r="D5" i="217" s="1"/>
  <c r="F5" i="217" s="1"/>
  <c r="D5" i="218" s="1"/>
  <c r="F5" i="218" s="1"/>
  <c r="D5" i="219" s="1"/>
  <c r="F5" i="219" s="1"/>
  <c r="C5" i="214"/>
  <c r="F4" i="214"/>
  <c r="D4" i="215" s="1"/>
  <c r="F4" i="215" s="1"/>
  <c r="D4" i="216" s="1"/>
  <c r="F4" i="216" s="1"/>
  <c r="D4" i="217" s="1"/>
  <c r="F4" i="217" s="1"/>
  <c r="D4" i="218" s="1"/>
  <c r="F4" i="218" s="1"/>
  <c r="D4" i="219" s="1"/>
  <c r="F4" i="219" s="1"/>
  <c r="C4" i="214"/>
  <c r="C3" i="214"/>
  <c r="F2" i="214"/>
  <c r="D2" i="215" s="1"/>
  <c r="F2" i="215" s="1"/>
  <c r="D2" i="216" s="1"/>
  <c r="F2" i="216" s="1"/>
  <c r="D2" i="217" s="1"/>
  <c r="F2" i="217" s="1"/>
  <c r="D2" i="218" s="1"/>
  <c r="F2" i="218" s="1"/>
  <c r="D2" i="219" s="1"/>
  <c r="F2" i="219" s="1"/>
  <c r="C2" i="214"/>
  <c r="C2" i="119" l="1"/>
  <c r="C3" i="119"/>
  <c r="C4" i="119"/>
  <c r="C5" i="119"/>
  <c r="C6" i="119"/>
  <c r="C7" i="119"/>
  <c r="C8" i="119"/>
  <c r="C9" i="119"/>
  <c r="C10" i="119"/>
  <c r="C11" i="119"/>
  <c r="C12" i="119"/>
  <c r="C13" i="119"/>
  <c r="C14" i="119"/>
  <c r="C15" i="119"/>
  <c r="C16" i="119"/>
  <c r="C17" i="119"/>
  <c r="C18" i="119"/>
  <c r="C19" i="119"/>
  <c r="C20" i="119"/>
  <c r="C21" i="119"/>
  <c r="C22" i="119"/>
  <c r="C23" i="119"/>
  <c r="C24" i="119"/>
  <c r="C25" i="119"/>
  <c r="C26" i="119"/>
  <c r="C27" i="119"/>
  <c r="C28" i="119"/>
  <c r="C29" i="119"/>
  <c r="C30" i="119"/>
  <c r="C31" i="119"/>
  <c r="C32" i="119"/>
  <c r="C33" i="119"/>
  <c r="C34" i="119"/>
  <c r="C35" i="119"/>
  <c r="C36" i="119"/>
  <c r="C37" i="119"/>
  <c r="C38" i="119"/>
  <c r="C39" i="119"/>
  <c r="C40" i="119"/>
  <c r="C41" i="119"/>
  <c r="C42" i="119"/>
  <c r="C43" i="119"/>
  <c r="C44" i="119"/>
  <c r="C45" i="119"/>
  <c r="C46" i="119"/>
  <c r="C47" i="119"/>
  <c r="C48" i="119"/>
  <c r="C49" i="119"/>
  <c r="C50" i="119"/>
  <c r="C51" i="119"/>
  <c r="C52" i="119"/>
  <c r="C53" i="119"/>
  <c r="C54" i="119"/>
  <c r="C55" i="119"/>
  <c r="C56" i="119"/>
  <c r="C57" i="119"/>
  <c r="C58" i="119"/>
  <c r="C59" i="119"/>
  <c r="C60" i="119"/>
  <c r="C61" i="119"/>
  <c r="C62" i="119"/>
  <c r="C63" i="119"/>
  <c r="C64" i="119"/>
  <c r="C65" i="119"/>
  <c r="C66" i="119"/>
  <c r="C67" i="119"/>
  <c r="C68" i="119"/>
  <c r="C69" i="119"/>
  <c r="C70" i="119"/>
  <c r="C71" i="119"/>
  <c r="C72" i="119"/>
  <c r="C73" i="119"/>
  <c r="C74" i="119"/>
  <c r="C75" i="119"/>
  <c r="C76" i="119"/>
  <c r="C77" i="119"/>
  <c r="C78" i="119"/>
  <c r="C79" i="119"/>
  <c r="C80" i="119"/>
  <c r="C81" i="119"/>
  <c r="C82" i="119"/>
  <c r="C83" i="119"/>
  <c r="C84" i="119"/>
  <c r="C85" i="119"/>
  <c r="C86" i="119"/>
  <c r="C87" i="119"/>
  <c r="C88" i="119"/>
  <c r="C89" i="119"/>
  <c r="C90" i="119"/>
  <c r="C91" i="119"/>
  <c r="C92" i="119"/>
  <c r="C93" i="119"/>
  <c r="C94" i="119"/>
  <c r="C95" i="119"/>
  <c r="C96" i="119"/>
  <c r="C97" i="119"/>
  <c r="C98" i="119"/>
  <c r="C99" i="119"/>
  <c r="C100" i="119"/>
  <c r="C101" i="119"/>
  <c r="C102" i="119"/>
  <c r="C103" i="119"/>
  <c r="C104" i="119"/>
  <c r="C105" i="119"/>
  <c r="C106" i="119"/>
  <c r="C107" i="119"/>
  <c r="C108" i="119"/>
  <c r="C109" i="119"/>
  <c r="C110" i="119"/>
  <c r="C111" i="119"/>
  <c r="C112" i="119"/>
  <c r="C113" i="119"/>
  <c r="C114" i="119"/>
  <c r="C115" i="119"/>
  <c r="C116" i="119"/>
  <c r="C117" i="119"/>
  <c r="C118" i="119"/>
  <c r="C119" i="119"/>
  <c r="C120" i="119"/>
  <c r="C121" i="119"/>
  <c r="C122" i="119"/>
  <c r="C123" i="119"/>
  <c r="C124" i="119"/>
  <c r="C125" i="119"/>
  <c r="C126" i="119"/>
  <c r="C127" i="119"/>
  <c r="C128" i="119"/>
  <c r="C129" i="119"/>
  <c r="C130" i="119"/>
  <c r="C131" i="119"/>
  <c r="C132" i="119"/>
  <c r="C133" i="119"/>
  <c r="C134" i="119"/>
  <c r="C135" i="119"/>
  <c r="C136" i="119"/>
  <c r="C137" i="119"/>
  <c r="C138" i="119"/>
  <c r="C139" i="119"/>
  <c r="C140" i="119"/>
  <c r="C141" i="119"/>
  <c r="C142" i="119"/>
  <c r="C143" i="119"/>
  <c r="C144" i="119"/>
  <c r="C145" i="119"/>
  <c r="C146" i="119"/>
  <c r="C147" i="119"/>
  <c r="C148" i="119"/>
  <c r="C149" i="119"/>
  <c r="C150" i="119"/>
  <c r="C151" i="119"/>
  <c r="C152" i="119"/>
  <c r="C153" i="119"/>
  <c r="C154" i="119"/>
  <c r="C155" i="119"/>
  <c r="C156" i="119"/>
  <c r="C157" i="119"/>
  <c r="C158" i="119"/>
  <c r="C159" i="119"/>
  <c r="C160" i="119"/>
  <c r="C161" i="119"/>
  <c r="C162" i="119"/>
  <c r="C163" i="119"/>
  <c r="C164" i="119"/>
  <c r="C165" i="119"/>
  <c r="C166" i="119"/>
  <c r="C167" i="119"/>
  <c r="C168" i="119"/>
  <c r="C169" i="119"/>
  <c r="C170" i="119"/>
  <c r="C171" i="119"/>
  <c r="C172" i="119"/>
  <c r="C173" i="119"/>
  <c r="C174" i="119"/>
  <c r="C175" i="119"/>
  <c r="C176" i="119"/>
  <c r="C177" i="119"/>
  <c r="C178" i="119"/>
  <c r="C179" i="119"/>
  <c r="C180" i="119"/>
  <c r="C181" i="119"/>
  <c r="C182" i="119"/>
  <c r="C183" i="119"/>
  <c r="C184" i="119"/>
  <c r="C185" i="119"/>
  <c r="C186" i="119"/>
  <c r="C187" i="119"/>
  <c r="C188" i="119"/>
  <c r="C189" i="119"/>
  <c r="C190" i="119"/>
  <c r="C191" i="119"/>
  <c r="C192" i="119"/>
  <c r="C193" i="119"/>
  <c r="C194" i="119"/>
  <c r="C195" i="119"/>
  <c r="C196" i="119"/>
  <c r="C197" i="119"/>
  <c r="C198" i="119"/>
  <c r="C199" i="119"/>
  <c r="C200" i="119"/>
  <c r="C201" i="119"/>
  <c r="C202" i="119"/>
  <c r="C203" i="119"/>
  <c r="C204" i="119"/>
  <c r="C205" i="119"/>
  <c r="C206" i="119"/>
  <c r="C207" i="119"/>
  <c r="C208" i="119"/>
  <c r="C209" i="119"/>
  <c r="C210" i="119"/>
  <c r="D2" i="83" l="1"/>
  <c r="D3" i="83"/>
  <c r="D4" i="83"/>
  <c r="D5" i="83"/>
  <c r="D6" i="83"/>
  <c r="F6" i="83" s="1"/>
  <c r="D7" i="83"/>
  <c r="D8" i="83"/>
  <c r="F8" i="83" s="1"/>
  <c r="D9" i="83"/>
  <c r="F9" i="83" s="1"/>
  <c r="D10" i="83"/>
  <c r="D11" i="83"/>
  <c r="D12" i="83"/>
  <c r="D13" i="83"/>
  <c r="D14" i="83"/>
  <c r="F14" i="83" s="1"/>
  <c r="D15" i="83"/>
  <c r="D16" i="83"/>
  <c r="D17" i="83"/>
  <c r="F17" i="83" s="1"/>
  <c r="D18" i="83"/>
  <c r="D19" i="83"/>
  <c r="D20" i="83"/>
  <c r="D21" i="83"/>
  <c r="D22" i="83"/>
  <c r="F22" i="83" s="1"/>
  <c r="D23" i="83"/>
  <c r="D24" i="83"/>
  <c r="D25" i="83"/>
  <c r="F25" i="83" s="1"/>
  <c r="D26" i="83"/>
  <c r="D27" i="83"/>
  <c r="D28" i="83"/>
  <c r="D29" i="83"/>
  <c r="D30" i="83"/>
  <c r="F30" i="83" s="1"/>
  <c r="D31" i="83"/>
  <c r="D32" i="83"/>
  <c r="F32" i="83" s="1"/>
  <c r="D33" i="83"/>
  <c r="F33" i="83" s="1"/>
  <c r="D34" i="83"/>
  <c r="D35" i="83"/>
  <c r="D36" i="83"/>
  <c r="D37" i="83"/>
  <c r="D38" i="83"/>
  <c r="F38" i="83" s="1"/>
  <c r="D39" i="83"/>
  <c r="D40" i="83"/>
  <c r="F40" i="83" s="1"/>
  <c r="D41" i="83"/>
  <c r="F41" i="83" s="1"/>
  <c r="D42" i="83"/>
  <c r="D43" i="83"/>
  <c r="D44" i="83"/>
  <c r="D45" i="83"/>
  <c r="D46" i="83"/>
  <c r="F46" i="83" s="1"/>
  <c r="D47" i="83"/>
  <c r="D48" i="83"/>
  <c r="F48" i="83" s="1"/>
  <c r="D49" i="83"/>
  <c r="F49" i="83" s="1"/>
  <c r="D50" i="83"/>
  <c r="D51" i="83"/>
  <c r="D52" i="83"/>
  <c r="D53" i="83"/>
  <c r="D54" i="83"/>
  <c r="F54" i="83" s="1"/>
  <c r="D55" i="83"/>
  <c r="D56" i="83"/>
  <c r="D57" i="83"/>
  <c r="D58" i="83"/>
  <c r="D59" i="83"/>
  <c r="D60" i="83"/>
  <c r="D61" i="83"/>
  <c r="D62" i="83"/>
  <c r="F62" i="83" s="1"/>
  <c r="D63" i="83"/>
  <c r="D64" i="83"/>
  <c r="D65" i="83"/>
  <c r="F65" i="83" s="1"/>
  <c r="D66" i="83"/>
  <c r="D67" i="83"/>
  <c r="D68" i="83"/>
  <c r="D69" i="83"/>
  <c r="D70" i="83"/>
  <c r="F70" i="83" s="1"/>
  <c r="D71" i="83"/>
  <c r="D72" i="83"/>
  <c r="D73" i="83"/>
  <c r="F73" i="83" s="1"/>
  <c r="D74" i="83"/>
  <c r="D75" i="83"/>
  <c r="D76" i="83"/>
  <c r="D77" i="83"/>
  <c r="D78" i="83"/>
  <c r="F78" i="83" s="1"/>
  <c r="D79" i="83"/>
  <c r="D80" i="83"/>
  <c r="D81" i="83"/>
  <c r="F81" i="83" s="1"/>
  <c r="D82" i="83"/>
  <c r="D83" i="83"/>
  <c r="D84" i="83"/>
  <c r="D85" i="83"/>
  <c r="D86" i="83"/>
  <c r="F86" i="83" s="1"/>
  <c r="D87" i="83"/>
  <c r="D88" i="83"/>
  <c r="D89" i="83"/>
  <c r="F89" i="83" s="1"/>
  <c r="D90" i="83"/>
  <c r="D91" i="83"/>
  <c r="D92" i="83"/>
  <c r="D93" i="83"/>
  <c r="D94" i="83"/>
  <c r="F94" i="83" s="1"/>
  <c r="D95" i="83"/>
  <c r="D96" i="83"/>
  <c r="D97" i="83"/>
  <c r="F97" i="83" s="1"/>
  <c r="D98" i="83"/>
  <c r="D99" i="83"/>
  <c r="D100" i="83"/>
  <c r="D101" i="83"/>
  <c r="D102" i="83"/>
  <c r="F102" i="83" s="1"/>
  <c r="D103" i="83"/>
  <c r="D104" i="83"/>
  <c r="D105" i="83"/>
  <c r="F105" i="83" s="1"/>
  <c r="D106" i="83"/>
  <c r="D107" i="83"/>
  <c r="D108" i="83"/>
  <c r="D109" i="83"/>
  <c r="D110" i="83"/>
  <c r="F110" i="83" s="1"/>
  <c r="D111" i="83"/>
  <c r="D112" i="83"/>
  <c r="D113" i="83"/>
  <c r="F113" i="83" s="1"/>
  <c r="D114" i="83"/>
  <c r="D115" i="83"/>
  <c r="D116" i="83"/>
  <c r="D117" i="83"/>
  <c r="D118" i="83"/>
  <c r="F118" i="83" s="1"/>
  <c r="D119" i="83"/>
  <c r="D120" i="83"/>
  <c r="D121" i="83"/>
  <c r="F121" i="83" s="1"/>
  <c r="D122" i="83"/>
  <c r="D123" i="83"/>
  <c r="D124" i="83"/>
  <c r="D125" i="83"/>
  <c r="D126" i="83"/>
  <c r="F126" i="83" s="1"/>
  <c r="D127" i="83"/>
  <c r="D128" i="83"/>
  <c r="D129" i="83"/>
  <c r="F129" i="83" s="1"/>
  <c r="D130" i="83"/>
  <c r="D131" i="83"/>
  <c r="D132" i="83"/>
  <c r="D133" i="83"/>
  <c r="D134" i="83"/>
  <c r="F134" i="83" s="1"/>
  <c r="D135" i="83"/>
  <c r="D136" i="83"/>
  <c r="D137" i="83"/>
  <c r="F137" i="83" s="1"/>
  <c r="D138" i="83"/>
  <c r="D139" i="83"/>
  <c r="D140" i="83"/>
  <c r="D141" i="83"/>
  <c r="D142" i="83"/>
  <c r="F142" i="83" s="1"/>
  <c r="D143" i="83"/>
  <c r="D144" i="83"/>
  <c r="D145" i="83"/>
  <c r="F145" i="83" s="1"/>
  <c r="D146" i="83"/>
  <c r="D147" i="83"/>
  <c r="D148" i="83"/>
  <c r="D149" i="83"/>
  <c r="D150" i="83"/>
  <c r="F150" i="83" s="1"/>
  <c r="D151" i="83"/>
  <c r="D152" i="83"/>
  <c r="D153" i="83"/>
  <c r="F153" i="83" s="1"/>
  <c r="D154" i="83"/>
  <c r="D155" i="83"/>
  <c r="D156" i="83"/>
  <c r="D157" i="83"/>
  <c r="D158" i="83"/>
  <c r="F158" i="83" s="1"/>
  <c r="D159" i="83"/>
  <c r="D160" i="83"/>
  <c r="D161" i="83"/>
  <c r="F161" i="83" s="1"/>
  <c r="D162" i="83"/>
  <c r="D163" i="83"/>
  <c r="D164" i="83"/>
  <c r="D165" i="83"/>
  <c r="D166" i="83"/>
  <c r="F166" i="83" s="1"/>
  <c r="D167" i="83"/>
  <c r="D168" i="83"/>
  <c r="D169" i="83"/>
  <c r="F169" i="83" s="1"/>
  <c r="D170" i="83"/>
  <c r="D171" i="83"/>
  <c r="D172" i="83"/>
  <c r="D173" i="83"/>
  <c r="D174" i="83"/>
  <c r="F174" i="83" s="1"/>
  <c r="D175" i="83"/>
  <c r="D176" i="83"/>
  <c r="D177" i="83"/>
  <c r="F177" i="83" s="1"/>
  <c r="D178" i="83"/>
  <c r="D179" i="83"/>
  <c r="D180" i="83"/>
  <c r="D181" i="83"/>
  <c r="D182" i="83"/>
  <c r="F182" i="83" s="1"/>
  <c r="D183" i="83"/>
  <c r="D184" i="83"/>
  <c r="D185" i="83"/>
  <c r="F185" i="83" s="1"/>
  <c r="D186" i="83"/>
  <c r="D187" i="83"/>
  <c r="D188" i="83"/>
  <c r="D189" i="83"/>
  <c r="D190" i="83"/>
  <c r="F190" i="83" s="1"/>
  <c r="D191" i="83"/>
  <c r="D192" i="83"/>
  <c r="D193" i="83"/>
  <c r="F193" i="83" s="1"/>
  <c r="D194" i="83"/>
  <c r="D195" i="83"/>
  <c r="D196" i="83"/>
  <c r="D197" i="83"/>
  <c r="D198" i="83"/>
  <c r="F198" i="83" s="1"/>
  <c r="D199" i="83"/>
  <c r="D200" i="83"/>
  <c r="D201" i="83"/>
  <c r="F201" i="83" s="1"/>
  <c r="D202" i="83"/>
  <c r="D203" i="83"/>
  <c r="D204" i="83"/>
  <c r="D205" i="83"/>
  <c r="D206" i="83"/>
  <c r="F206" i="83" s="1"/>
  <c r="D207" i="83"/>
  <c r="D208" i="83"/>
  <c r="D209" i="83"/>
  <c r="F209" i="83" s="1"/>
  <c r="D210" i="83"/>
  <c r="D211" i="83"/>
  <c r="C2" i="83"/>
  <c r="C3" i="83"/>
  <c r="C4" i="83"/>
  <c r="C5" i="83"/>
  <c r="C6" i="83"/>
  <c r="C7" i="83"/>
  <c r="C8" i="83"/>
  <c r="C9" i="83"/>
  <c r="C10" i="83"/>
  <c r="C11" i="83"/>
  <c r="C12" i="83"/>
  <c r="C13" i="83"/>
  <c r="C14" i="83"/>
  <c r="C15" i="83"/>
  <c r="C16" i="83"/>
  <c r="C17" i="83"/>
  <c r="C18" i="83"/>
  <c r="C19" i="83"/>
  <c r="C20" i="83"/>
  <c r="C21" i="83"/>
  <c r="C22" i="83"/>
  <c r="C23" i="83"/>
  <c r="C24" i="83"/>
  <c r="C25" i="83"/>
  <c r="C26" i="83"/>
  <c r="C27" i="83"/>
  <c r="C28" i="83"/>
  <c r="C29" i="83"/>
  <c r="C30" i="83"/>
  <c r="C31" i="83"/>
  <c r="C32" i="83"/>
  <c r="C33" i="83"/>
  <c r="C34" i="83"/>
  <c r="C35" i="83"/>
  <c r="C36" i="83"/>
  <c r="C37" i="83"/>
  <c r="C38" i="83"/>
  <c r="C39" i="83"/>
  <c r="C40" i="83"/>
  <c r="C41" i="83"/>
  <c r="C42" i="83"/>
  <c r="C43" i="83"/>
  <c r="C44" i="83"/>
  <c r="C45" i="83"/>
  <c r="C46" i="83"/>
  <c r="C47" i="83"/>
  <c r="C48" i="83"/>
  <c r="C49" i="83"/>
  <c r="C50" i="83"/>
  <c r="C51" i="83"/>
  <c r="C52" i="83"/>
  <c r="C53" i="83"/>
  <c r="C54" i="83"/>
  <c r="C55" i="83"/>
  <c r="C56" i="83"/>
  <c r="C57" i="83"/>
  <c r="C58" i="83"/>
  <c r="C59" i="83"/>
  <c r="C60" i="83"/>
  <c r="C61" i="83"/>
  <c r="C62" i="83"/>
  <c r="C63" i="83"/>
  <c r="C64" i="83"/>
  <c r="C65" i="83"/>
  <c r="C66" i="83"/>
  <c r="C67" i="83"/>
  <c r="C68" i="83"/>
  <c r="C69" i="83"/>
  <c r="C70" i="83"/>
  <c r="C71" i="83"/>
  <c r="C72" i="83"/>
  <c r="C73" i="83"/>
  <c r="C74" i="83"/>
  <c r="C75" i="83"/>
  <c r="C76" i="83"/>
  <c r="C77" i="83"/>
  <c r="C78" i="83"/>
  <c r="C79" i="83"/>
  <c r="C80" i="83"/>
  <c r="C81" i="83"/>
  <c r="C82" i="83"/>
  <c r="C83" i="83"/>
  <c r="C84" i="83"/>
  <c r="C85" i="83"/>
  <c r="C86" i="83"/>
  <c r="C87" i="83"/>
  <c r="C88" i="83"/>
  <c r="C89" i="83"/>
  <c r="C90" i="83"/>
  <c r="C91" i="83"/>
  <c r="C92" i="83"/>
  <c r="C93" i="83"/>
  <c r="C94" i="83"/>
  <c r="C95" i="83"/>
  <c r="C96" i="83"/>
  <c r="C97" i="83"/>
  <c r="C98" i="83"/>
  <c r="C99" i="83"/>
  <c r="C100" i="83"/>
  <c r="C101" i="83"/>
  <c r="C102" i="83"/>
  <c r="C103" i="83"/>
  <c r="C104" i="83"/>
  <c r="C105" i="83"/>
  <c r="C106" i="83"/>
  <c r="C107" i="83"/>
  <c r="C108" i="83"/>
  <c r="C109" i="83"/>
  <c r="C110" i="83"/>
  <c r="C111" i="83"/>
  <c r="C112" i="83"/>
  <c r="C113" i="83"/>
  <c r="C114" i="83"/>
  <c r="C115" i="83"/>
  <c r="C116" i="83"/>
  <c r="C117" i="83"/>
  <c r="C118" i="83"/>
  <c r="C119" i="83"/>
  <c r="C120" i="83"/>
  <c r="C121" i="83"/>
  <c r="C122" i="83"/>
  <c r="C123" i="83"/>
  <c r="C124" i="83"/>
  <c r="C125" i="83"/>
  <c r="C126" i="83"/>
  <c r="C127" i="83"/>
  <c r="C128" i="83"/>
  <c r="C129" i="83"/>
  <c r="C130" i="83"/>
  <c r="C131" i="83"/>
  <c r="C132" i="83"/>
  <c r="C133" i="83"/>
  <c r="C134" i="83"/>
  <c r="C135" i="83"/>
  <c r="C136" i="83"/>
  <c r="C137" i="83"/>
  <c r="C138" i="83"/>
  <c r="C139" i="83"/>
  <c r="C140" i="83"/>
  <c r="C141" i="83"/>
  <c r="C142" i="83"/>
  <c r="C143" i="83"/>
  <c r="C144" i="83"/>
  <c r="C145" i="83"/>
  <c r="C146" i="83"/>
  <c r="C147" i="83"/>
  <c r="C148" i="83"/>
  <c r="C149" i="83"/>
  <c r="C150" i="83"/>
  <c r="C151" i="83"/>
  <c r="C152" i="83"/>
  <c r="C153" i="83"/>
  <c r="C154" i="83"/>
  <c r="C155" i="83"/>
  <c r="C156" i="83"/>
  <c r="C157" i="83"/>
  <c r="C158" i="83"/>
  <c r="C159" i="83"/>
  <c r="C160" i="83"/>
  <c r="C161" i="83"/>
  <c r="C162" i="83"/>
  <c r="C163" i="83"/>
  <c r="C164" i="83"/>
  <c r="C165" i="83"/>
  <c r="C166" i="83"/>
  <c r="C167" i="83"/>
  <c r="C168" i="83"/>
  <c r="C169" i="83"/>
  <c r="C170" i="83"/>
  <c r="C171" i="83"/>
  <c r="C172" i="83"/>
  <c r="C173" i="83"/>
  <c r="C174" i="83"/>
  <c r="C175" i="83"/>
  <c r="C176" i="83"/>
  <c r="C177" i="83"/>
  <c r="C178" i="83"/>
  <c r="C179" i="83"/>
  <c r="C180" i="83"/>
  <c r="C181" i="83"/>
  <c r="C182" i="83"/>
  <c r="C183" i="83"/>
  <c r="C184" i="83"/>
  <c r="C185" i="83"/>
  <c r="C186" i="83"/>
  <c r="C187" i="83"/>
  <c r="C188" i="83"/>
  <c r="C189" i="83"/>
  <c r="C190" i="83"/>
  <c r="C191" i="83"/>
  <c r="C192" i="83"/>
  <c r="C193" i="83"/>
  <c r="C194" i="83"/>
  <c r="C195" i="83"/>
  <c r="C196" i="83"/>
  <c r="C197" i="83"/>
  <c r="C198" i="83"/>
  <c r="C199" i="83"/>
  <c r="C200" i="83"/>
  <c r="C201" i="83"/>
  <c r="C202" i="83"/>
  <c r="C203" i="83"/>
  <c r="C204" i="83"/>
  <c r="C205" i="83"/>
  <c r="C206" i="83"/>
  <c r="C207" i="83"/>
  <c r="C208" i="83"/>
  <c r="C209" i="83"/>
  <c r="C210" i="83"/>
  <c r="C211" i="83"/>
  <c r="F2" i="83"/>
  <c r="F3" i="83"/>
  <c r="F4" i="83"/>
  <c r="F5" i="83"/>
  <c r="F7" i="83"/>
  <c r="F10" i="83"/>
  <c r="F11" i="83"/>
  <c r="F12" i="83"/>
  <c r="F13" i="83"/>
  <c r="F15" i="83"/>
  <c r="F16" i="83"/>
  <c r="F18" i="83"/>
  <c r="F19" i="83"/>
  <c r="F20" i="83"/>
  <c r="F21" i="83"/>
  <c r="F23" i="83"/>
  <c r="F24" i="83"/>
  <c r="F26" i="83"/>
  <c r="F27" i="83"/>
  <c r="F28" i="83"/>
  <c r="F29" i="83"/>
  <c r="F31" i="83"/>
  <c r="F34" i="83"/>
  <c r="F35" i="83"/>
  <c r="F36" i="83"/>
  <c r="F37" i="83"/>
  <c r="F39" i="83"/>
  <c r="F42" i="83"/>
  <c r="F43" i="83"/>
  <c r="F44" i="83"/>
  <c r="F45" i="83"/>
  <c r="F47" i="83"/>
  <c r="F50" i="83"/>
  <c r="F51" i="83"/>
  <c r="F52" i="83"/>
  <c r="F53" i="83"/>
  <c r="F55" i="83"/>
  <c r="F56" i="83"/>
  <c r="F57" i="83"/>
  <c r="F58" i="83"/>
  <c r="F59" i="83"/>
  <c r="F60" i="83"/>
  <c r="F61" i="83"/>
  <c r="F63" i="83"/>
  <c r="F64" i="83"/>
  <c r="F66" i="83"/>
  <c r="F67" i="83"/>
  <c r="F68" i="83"/>
  <c r="F69" i="83"/>
  <c r="F71" i="83"/>
  <c r="F72" i="83"/>
  <c r="F74" i="83"/>
  <c r="F75" i="83"/>
  <c r="F76" i="83"/>
  <c r="F77" i="83"/>
  <c r="F79" i="83"/>
  <c r="F80" i="83"/>
  <c r="F82" i="83"/>
  <c r="F83" i="83"/>
  <c r="F84" i="83"/>
  <c r="F85" i="83"/>
  <c r="F87" i="83"/>
  <c r="F88" i="83"/>
  <c r="F90" i="83"/>
  <c r="F91" i="83"/>
  <c r="F92" i="83"/>
  <c r="F93" i="83"/>
  <c r="F95" i="83"/>
  <c r="F96" i="83"/>
  <c r="F98" i="83"/>
  <c r="F99" i="83"/>
  <c r="F100" i="83"/>
  <c r="F101" i="83"/>
  <c r="F103" i="83"/>
  <c r="F104" i="83"/>
  <c r="F106" i="83"/>
  <c r="F107" i="83"/>
  <c r="F108" i="83"/>
  <c r="F109" i="83"/>
  <c r="F111" i="83"/>
  <c r="F112" i="83"/>
  <c r="F114" i="83"/>
  <c r="F115" i="83"/>
  <c r="F116" i="83"/>
  <c r="F117" i="83"/>
  <c r="F119" i="83"/>
  <c r="F120" i="83"/>
  <c r="F122" i="83"/>
  <c r="F123" i="83"/>
  <c r="F124" i="83"/>
  <c r="F125" i="83"/>
  <c r="F127" i="83"/>
  <c r="F128" i="83"/>
  <c r="F130" i="83"/>
  <c r="F131" i="83"/>
  <c r="F132" i="83"/>
  <c r="F133" i="83"/>
  <c r="F135" i="83"/>
  <c r="F136" i="83"/>
  <c r="F138" i="83"/>
  <c r="F139" i="83"/>
  <c r="F140" i="83"/>
  <c r="F141" i="83"/>
  <c r="F143" i="83"/>
  <c r="F144" i="83"/>
  <c r="F146" i="83"/>
  <c r="F147" i="83"/>
  <c r="F148" i="83"/>
  <c r="F149" i="83"/>
  <c r="F151" i="83"/>
  <c r="F152" i="83"/>
  <c r="F154" i="83"/>
  <c r="F155" i="83"/>
  <c r="F156" i="83"/>
  <c r="F157" i="83"/>
  <c r="F159" i="83"/>
  <c r="F160" i="83"/>
  <c r="F162" i="83"/>
  <c r="F163" i="83"/>
  <c r="F164" i="83"/>
  <c r="F165" i="83"/>
  <c r="F167" i="83"/>
  <c r="F168" i="83"/>
  <c r="F170" i="83"/>
  <c r="F171" i="83"/>
  <c r="F172" i="83"/>
  <c r="F173" i="83"/>
  <c r="F175" i="83"/>
  <c r="F176" i="83"/>
  <c r="F178" i="83"/>
  <c r="F179" i="83"/>
  <c r="F180" i="83"/>
  <c r="F181" i="83"/>
  <c r="F183" i="83"/>
  <c r="F184" i="83"/>
  <c r="F186" i="83"/>
  <c r="F187" i="83"/>
  <c r="F188" i="83"/>
  <c r="F189" i="83"/>
  <c r="F191" i="83"/>
  <c r="F192" i="83"/>
  <c r="F194" i="83"/>
  <c r="F195" i="83"/>
  <c r="F196" i="83"/>
  <c r="F197" i="83"/>
  <c r="F199" i="83"/>
  <c r="F200" i="83"/>
  <c r="F202" i="83"/>
  <c r="F203" i="83"/>
  <c r="F204" i="83"/>
  <c r="F205" i="83"/>
  <c r="F207" i="83"/>
  <c r="F208" i="83"/>
  <c r="F210" i="83"/>
  <c r="F211" i="8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8798262-D752-45A2-8BB2-021F9D3AEFB9}" name="Query - TBLinvtry" description="Connection to the 'TBLinvtry' query in the workbook." type="100" refreshedVersion="6" minRefreshableVersion="5">
    <extLst>
      <ext xmlns:x15="http://schemas.microsoft.com/office/spreadsheetml/2010/11/main" uri="{DE250136-89BD-433C-8126-D09CA5730AF9}">
        <x15:connection id="64e0c4af-3bf6-4c6b-97e8-a9125555cfc9"/>
      </ext>
    </extLst>
  </connection>
  <connection id="2" xr16:uid="{BEBBD55D-FF98-4EA5-8889-F1FAC6FD3B54}" name="Query - TBLprd" description="Connection to the 'TBLprd' query in the workbook." type="100" refreshedVersion="6" minRefreshableVersion="5">
    <extLst>
      <ext xmlns:x15="http://schemas.microsoft.com/office/spreadsheetml/2010/11/main" uri="{DE250136-89BD-433C-8126-D09CA5730AF9}">
        <x15:connection id="113b5349-6f5f-4386-9eec-b6303aa1acf3"/>
      </ext>
    </extLst>
  </connection>
  <connection id="3" xr16:uid="{37F3969C-5168-4778-9CD0-C3675A4382B7}"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38151B9B-13B0-49E8-9CD9-CD379F39F266}" name="WorksheetConnection_Project last.xlsm!TBLPLace" type="102" refreshedVersion="6" minRefreshableVersion="5">
    <extLst>
      <ext xmlns:x15="http://schemas.microsoft.com/office/spreadsheetml/2010/11/main" uri="{DE250136-89BD-433C-8126-D09CA5730AF9}">
        <x15:connection id="TBLPLace">
          <x15:rangePr sourceName="_xlcn.WorksheetConnection_Projectlast.xlsmTBLPLace"/>
        </x15:connection>
      </ext>
    </extLst>
  </connection>
</connections>
</file>

<file path=xl/sharedStrings.xml><?xml version="1.0" encoding="utf-8"?>
<sst xmlns="http://schemas.openxmlformats.org/spreadsheetml/2006/main" count="3888" uniqueCount="491">
  <si>
    <t>States</t>
  </si>
  <si>
    <t>Name</t>
  </si>
  <si>
    <t>Code</t>
  </si>
  <si>
    <t>A1111</t>
  </si>
  <si>
    <t>Prod 1</t>
  </si>
  <si>
    <t>Barand A</t>
  </si>
  <si>
    <t>A1112</t>
  </si>
  <si>
    <t>A1113</t>
  </si>
  <si>
    <t>A1114</t>
  </si>
  <si>
    <t>A1115</t>
  </si>
  <si>
    <t>A1116</t>
  </si>
  <si>
    <t>A1117</t>
  </si>
  <si>
    <t>A1118</t>
  </si>
  <si>
    <t>A1119</t>
  </si>
  <si>
    <t>A1120</t>
  </si>
  <si>
    <t>A1121</t>
  </si>
  <si>
    <t>A1122</t>
  </si>
  <si>
    <t>A1123</t>
  </si>
  <si>
    <t>A1124</t>
  </si>
  <si>
    <t>A1125</t>
  </si>
  <si>
    <t>A1126</t>
  </si>
  <si>
    <t>A1127</t>
  </si>
  <si>
    <t>A1128</t>
  </si>
  <si>
    <t>A1129</t>
  </si>
  <si>
    <t>A1130</t>
  </si>
  <si>
    <t>A1131</t>
  </si>
  <si>
    <t>A1132</t>
  </si>
  <si>
    <t>A1133</t>
  </si>
  <si>
    <t>A1134</t>
  </si>
  <si>
    <t>A1135</t>
  </si>
  <si>
    <t>A1136</t>
  </si>
  <si>
    <t>A1137</t>
  </si>
  <si>
    <t>A1138</t>
  </si>
  <si>
    <t>A1139</t>
  </si>
  <si>
    <t>A1140</t>
  </si>
  <si>
    <t>A1141</t>
  </si>
  <si>
    <t>A1142</t>
  </si>
  <si>
    <t>A1143</t>
  </si>
  <si>
    <t>A1144</t>
  </si>
  <si>
    <t>A1145</t>
  </si>
  <si>
    <t>A1146</t>
  </si>
  <si>
    <t>A1147</t>
  </si>
  <si>
    <t>A1148</t>
  </si>
  <si>
    <t>A1149</t>
  </si>
  <si>
    <t>A1150</t>
  </si>
  <si>
    <t>A1151</t>
  </si>
  <si>
    <t>A1152</t>
  </si>
  <si>
    <t>A1153</t>
  </si>
  <si>
    <t>A1154</t>
  </si>
  <si>
    <t>A1155</t>
  </si>
  <si>
    <t>A1156</t>
  </si>
  <si>
    <t>A1157</t>
  </si>
  <si>
    <t>A1158</t>
  </si>
  <si>
    <t>A1159</t>
  </si>
  <si>
    <t>Prod 2</t>
  </si>
  <si>
    <t>Prod 3</t>
  </si>
  <si>
    <t>Prod 4</t>
  </si>
  <si>
    <t>Prod 5</t>
  </si>
  <si>
    <t>Prod 6</t>
  </si>
  <si>
    <t>Prod 7</t>
  </si>
  <si>
    <t>Prod 8</t>
  </si>
  <si>
    <t>Prod 9</t>
  </si>
  <si>
    <t>Prod 10</t>
  </si>
  <si>
    <t>Prod 11</t>
  </si>
  <si>
    <t>Prod 12</t>
  </si>
  <si>
    <t>Prod 13</t>
  </si>
  <si>
    <t>Prod 14</t>
  </si>
  <si>
    <t>Prod 15</t>
  </si>
  <si>
    <t>Prod 16</t>
  </si>
  <si>
    <t>Prod 17</t>
  </si>
  <si>
    <t>Prod 18</t>
  </si>
  <si>
    <t>Prod 19</t>
  </si>
  <si>
    <t>Prod 20</t>
  </si>
  <si>
    <t>Prod 21</t>
  </si>
  <si>
    <t>Prod 22</t>
  </si>
  <si>
    <t>Prod 23</t>
  </si>
  <si>
    <t>Prod 24</t>
  </si>
  <si>
    <t>Prod 25</t>
  </si>
  <si>
    <t>Prod 26</t>
  </si>
  <si>
    <t>Prod 27</t>
  </si>
  <si>
    <t>Prod 28</t>
  </si>
  <si>
    <t>Prod 29</t>
  </si>
  <si>
    <t>Prod 30</t>
  </si>
  <si>
    <t>Prod 31</t>
  </si>
  <si>
    <t>Prod 32</t>
  </si>
  <si>
    <t>Prod 33</t>
  </si>
  <si>
    <t>Prod 34</t>
  </si>
  <si>
    <t>Prod 35</t>
  </si>
  <si>
    <t>Prod 36</t>
  </si>
  <si>
    <t>Prod 37</t>
  </si>
  <si>
    <t>Prod 38</t>
  </si>
  <si>
    <t>Prod 39</t>
  </si>
  <si>
    <t>Prod 40</t>
  </si>
  <si>
    <t>Prod 41</t>
  </si>
  <si>
    <t>Prod 42</t>
  </si>
  <si>
    <t>Prod 43</t>
  </si>
  <si>
    <t>Prod 44</t>
  </si>
  <si>
    <t>Prod 45</t>
  </si>
  <si>
    <t>Prod 46</t>
  </si>
  <si>
    <t>Prod 47</t>
  </si>
  <si>
    <t>Prod 48</t>
  </si>
  <si>
    <t>Prod 49</t>
  </si>
  <si>
    <t>A1160</t>
  </si>
  <si>
    <t>A1161</t>
  </si>
  <si>
    <t>A1162</t>
  </si>
  <si>
    <t>A1163</t>
  </si>
  <si>
    <t>A1164</t>
  </si>
  <si>
    <t>A1165</t>
  </si>
  <si>
    <t>A1166</t>
  </si>
  <si>
    <t>A1167</t>
  </si>
  <si>
    <t>A1168</t>
  </si>
  <si>
    <t>A1169</t>
  </si>
  <si>
    <t>A1170</t>
  </si>
  <si>
    <t>A1171</t>
  </si>
  <si>
    <t>A1172</t>
  </si>
  <si>
    <t>A1173</t>
  </si>
  <si>
    <t>A1174</t>
  </si>
  <si>
    <t>A1175</t>
  </si>
  <si>
    <t>A1176</t>
  </si>
  <si>
    <t>A1177</t>
  </si>
  <si>
    <t>A1178</t>
  </si>
  <si>
    <t>A1179</t>
  </si>
  <si>
    <t>A1180</t>
  </si>
  <si>
    <t>A1181</t>
  </si>
  <si>
    <t>A1182</t>
  </si>
  <si>
    <t>A1183</t>
  </si>
  <si>
    <t>A1184</t>
  </si>
  <si>
    <t>A1185</t>
  </si>
  <si>
    <t>A1186</t>
  </si>
  <si>
    <t>A1187</t>
  </si>
  <si>
    <t>A1188</t>
  </si>
  <si>
    <t>A1189</t>
  </si>
  <si>
    <t>A1190</t>
  </si>
  <si>
    <t>A1191</t>
  </si>
  <si>
    <t>A1192</t>
  </si>
  <si>
    <t>A1193</t>
  </si>
  <si>
    <t>A1194</t>
  </si>
  <si>
    <t>A1195</t>
  </si>
  <si>
    <t>A1196</t>
  </si>
  <si>
    <t>A1197</t>
  </si>
  <si>
    <t>A1198</t>
  </si>
  <si>
    <t>A1199</t>
  </si>
  <si>
    <t>A1200</t>
  </si>
  <si>
    <t>A1201</t>
  </si>
  <si>
    <t>A1202</t>
  </si>
  <si>
    <t>A1203</t>
  </si>
  <si>
    <t>A1204</t>
  </si>
  <si>
    <t>A1205</t>
  </si>
  <si>
    <t>A1206</t>
  </si>
  <si>
    <t>A1207</t>
  </si>
  <si>
    <t>A1208</t>
  </si>
  <si>
    <t>A1209</t>
  </si>
  <si>
    <t>Prod 50</t>
  </si>
  <si>
    <t>Prod 51</t>
  </si>
  <si>
    <t>Prod 52</t>
  </si>
  <si>
    <t>Prod 53</t>
  </si>
  <si>
    <t>Prod 54</t>
  </si>
  <si>
    <t>Prod 55</t>
  </si>
  <si>
    <t>Prod 56</t>
  </si>
  <si>
    <t>Prod 57</t>
  </si>
  <si>
    <t>Prod 58</t>
  </si>
  <si>
    <t>Prod 59</t>
  </si>
  <si>
    <t>Prod 60</t>
  </si>
  <si>
    <t>Prod 61</t>
  </si>
  <si>
    <t>Prod 62</t>
  </si>
  <si>
    <t>Prod 63</t>
  </si>
  <si>
    <t>Prod 64</t>
  </si>
  <si>
    <t>Prod 65</t>
  </si>
  <si>
    <t>Prod 66</t>
  </si>
  <si>
    <t>Prod 67</t>
  </si>
  <si>
    <t>Prod 68</t>
  </si>
  <si>
    <t>Prod 69</t>
  </si>
  <si>
    <t>Prod 70</t>
  </si>
  <si>
    <t>Prod 71</t>
  </si>
  <si>
    <t>Prod 72</t>
  </si>
  <si>
    <t>Prod 73</t>
  </si>
  <si>
    <t>Prod 74</t>
  </si>
  <si>
    <t>Prod 75</t>
  </si>
  <si>
    <t>Prod 76</t>
  </si>
  <si>
    <t>Prod 77</t>
  </si>
  <si>
    <t>Prod 78</t>
  </si>
  <si>
    <t>Prod 79</t>
  </si>
  <si>
    <t>Prod 80</t>
  </si>
  <si>
    <t>Prod 81</t>
  </si>
  <si>
    <t>Prod 82</t>
  </si>
  <si>
    <t>Prod 83</t>
  </si>
  <si>
    <t>Prod 84</t>
  </si>
  <si>
    <t>Prod 85</t>
  </si>
  <si>
    <t>Prod 86</t>
  </si>
  <si>
    <t>Prod 87</t>
  </si>
  <si>
    <t>Prod 88</t>
  </si>
  <si>
    <t>Prod 89</t>
  </si>
  <si>
    <t>Prod 90</t>
  </si>
  <si>
    <t>Prod 91</t>
  </si>
  <si>
    <t>Prod 92</t>
  </si>
  <si>
    <t>Prod 93</t>
  </si>
  <si>
    <t>Prod 94</t>
  </si>
  <si>
    <t>Prod 95</t>
  </si>
  <si>
    <t>Prod 96</t>
  </si>
  <si>
    <t>Prod 97</t>
  </si>
  <si>
    <t>Prod 98</t>
  </si>
  <si>
    <t>Prod 99</t>
  </si>
  <si>
    <t>Barand B</t>
  </si>
  <si>
    <t>test</t>
  </si>
  <si>
    <t>A1210</t>
  </si>
  <si>
    <t>Prod 100</t>
  </si>
  <si>
    <t>A1211</t>
  </si>
  <si>
    <t>Prod 101</t>
  </si>
  <si>
    <t>A1212</t>
  </si>
  <si>
    <t>Prod 102</t>
  </si>
  <si>
    <t>A1213</t>
  </si>
  <si>
    <t>Prod 103</t>
  </si>
  <si>
    <t>A1214</t>
  </si>
  <si>
    <t>Prod 104</t>
  </si>
  <si>
    <t>A1215</t>
  </si>
  <si>
    <t>Prod 105</t>
  </si>
  <si>
    <t>A1216</t>
  </si>
  <si>
    <t>Prod 106</t>
  </si>
  <si>
    <t>A1217</t>
  </si>
  <si>
    <t>Prod 107</t>
  </si>
  <si>
    <t>A1218</t>
  </si>
  <si>
    <t>Prod 108</t>
  </si>
  <si>
    <t>A1219</t>
  </si>
  <si>
    <t>Prod 109</t>
  </si>
  <si>
    <t>A1220</t>
  </si>
  <si>
    <t>Prod 110</t>
  </si>
  <si>
    <t>A1221</t>
  </si>
  <si>
    <t>Prod 111</t>
  </si>
  <si>
    <t>A1222</t>
  </si>
  <si>
    <t>Prod 112</t>
  </si>
  <si>
    <t>A1223</t>
  </si>
  <si>
    <t>Prod 113</t>
  </si>
  <si>
    <t>A1224</t>
  </si>
  <si>
    <t>Prod 114</t>
  </si>
  <si>
    <t>A1225</t>
  </si>
  <si>
    <t>Prod 115</t>
  </si>
  <si>
    <t>A1226</t>
  </si>
  <si>
    <t>Prod 116</t>
  </si>
  <si>
    <t>A1227</t>
  </si>
  <si>
    <t>Prod 117</t>
  </si>
  <si>
    <t>A1228</t>
  </si>
  <si>
    <t>Prod 118</t>
  </si>
  <si>
    <t>A1229</t>
  </si>
  <si>
    <t>Prod 119</t>
  </si>
  <si>
    <t>A1230</t>
  </si>
  <si>
    <t>Prod 120</t>
  </si>
  <si>
    <t>A1231</t>
  </si>
  <si>
    <t>Prod 121</t>
  </si>
  <si>
    <t>A1232</t>
  </si>
  <si>
    <t>Prod 122</t>
  </si>
  <si>
    <t>A1233</t>
  </si>
  <si>
    <t>Prod 123</t>
  </si>
  <si>
    <t>A1234</t>
  </si>
  <si>
    <t>Prod 124</t>
  </si>
  <si>
    <t>A1235</t>
  </si>
  <si>
    <t>Prod 125</t>
  </si>
  <si>
    <t>A1236</t>
  </si>
  <si>
    <t>Prod 126</t>
  </si>
  <si>
    <t>A1237</t>
  </si>
  <si>
    <t>Prod 127</t>
  </si>
  <si>
    <t>A1238</t>
  </si>
  <si>
    <t>Prod 128</t>
  </si>
  <si>
    <t>A1239</t>
  </si>
  <si>
    <t>Prod 129</t>
  </si>
  <si>
    <t>A1240</t>
  </si>
  <si>
    <t>Prod 130</t>
  </si>
  <si>
    <t>A1241</t>
  </si>
  <si>
    <t>Prod 131</t>
  </si>
  <si>
    <t>A1242</t>
  </si>
  <si>
    <t>Prod 132</t>
  </si>
  <si>
    <t>A1243</t>
  </si>
  <si>
    <t>Prod 133</t>
  </si>
  <si>
    <t>A1244</t>
  </si>
  <si>
    <t>Prod 134</t>
  </si>
  <si>
    <t>A1245</t>
  </si>
  <si>
    <t>Prod 135</t>
  </si>
  <si>
    <t>A1246</t>
  </si>
  <si>
    <t>Prod 136</t>
  </si>
  <si>
    <t>A1247</t>
  </si>
  <si>
    <t>Prod 137</t>
  </si>
  <si>
    <t>A1248</t>
  </si>
  <si>
    <t>Prod 138</t>
  </si>
  <si>
    <t>A1249</t>
  </si>
  <si>
    <t>Prod 139</t>
  </si>
  <si>
    <t>A1250</t>
  </si>
  <si>
    <t>Prod 140</t>
  </si>
  <si>
    <t>A1251</t>
  </si>
  <si>
    <t>Prod 141</t>
  </si>
  <si>
    <t>A1252</t>
  </si>
  <si>
    <t>Prod 142</t>
  </si>
  <si>
    <t>A1253</t>
  </si>
  <si>
    <t>Prod 143</t>
  </si>
  <si>
    <t>A1254</t>
  </si>
  <si>
    <t>Prod 144</t>
  </si>
  <si>
    <t>A1255</t>
  </si>
  <si>
    <t>Prod 145</t>
  </si>
  <si>
    <t>A1256</t>
  </si>
  <si>
    <t>Prod 146</t>
  </si>
  <si>
    <t>A1257</t>
  </si>
  <si>
    <t>Prod 147</t>
  </si>
  <si>
    <t>A1258</t>
  </si>
  <si>
    <t>Prod 148</t>
  </si>
  <si>
    <t>A1259</t>
  </si>
  <si>
    <t>Prod 149</t>
  </si>
  <si>
    <t>A1260</t>
  </si>
  <si>
    <t>Prod 150</t>
  </si>
  <si>
    <t>A1261</t>
  </si>
  <si>
    <t>Prod 151</t>
  </si>
  <si>
    <t>A1262</t>
  </si>
  <si>
    <t>Prod 152</t>
  </si>
  <si>
    <t>A1263</t>
  </si>
  <si>
    <t>Prod 153</t>
  </si>
  <si>
    <t>A1264</t>
  </si>
  <si>
    <t>Prod 154</t>
  </si>
  <si>
    <t>A1265</t>
  </si>
  <si>
    <t>Prod 155</t>
  </si>
  <si>
    <t>A1266</t>
  </si>
  <si>
    <t>Prod 156</t>
  </si>
  <si>
    <t>A1267</t>
  </si>
  <si>
    <t>Prod 157</t>
  </si>
  <si>
    <t>A1268</t>
  </si>
  <si>
    <t>Prod 158</t>
  </si>
  <si>
    <t>A1269</t>
  </si>
  <si>
    <t>Prod 159</t>
  </si>
  <si>
    <t>A1270</t>
  </si>
  <si>
    <t>Prod 160</t>
  </si>
  <si>
    <t>A1271</t>
  </si>
  <si>
    <t>Prod 161</t>
  </si>
  <si>
    <t>A1272</t>
  </si>
  <si>
    <t>Prod 162</t>
  </si>
  <si>
    <t>A1273</t>
  </si>
  <si>
    <t>Prod 163</t>
  </si>
  <si>
    <t>A1274</t>
  </si>
  <si>
    <t>Prod 164</t>
  </si>
  <si>
    <t>A1275</t>
  </si>
  <si>
    <t>Prod 165</t>
  </si>
  <si>
    <t>A1276</t>
  </si>
  <si>
    <t>Prod 166</t>
  </si>
  <si>
    <t>A1277</t>
  </si>
  <si>
    <t>Prod 167</t>
  </si>
  <si>
    <t>A1278</t>
  </si>
  <si>
    <t>Prod 168</t>
  </si>
  <si>
    <t>A1279</t>
  </si>
  <si>
    <t>Prod 169</t>
  </si>
  <si>
    <t>A1280</t>
  </si>
  <si>
    <t>Prod 170</t>
  </si>
  <si>
    <t>A1281</t>
  </si>
  <si>
    <t>Prod 171</t>
  </si>
  <si>
    <t>A1282</t>
  </si>
  <si>
    <t>Prod 172</t>
  </si>
  <si>
    <t>A1283</t>
  </si>
  <si>
    <t>Prod 173</t>
  </si>
  <si>
    <t>A1284</t>
  </si>
  <si>
    <t>Prod 174</t>
  </si>
  <si>
    <t>A1285</t>
  </si>
  <si>
    <t>Prod 175</t>
  </si>
  <si>
    <t>A1286</t>
  </si>
  <si>
    <t>Prod 176</t>
  </si>
  <si>
    <t>A1287</t>
  </si>
  <si>
    <t>Prod 177</t>
  </si>
  <si>
    <t>A1288</t>
  </si>
  <si>
    <t>Prod 178</t>
  </si>
  <si>
    <t>A1289</t>
  </si>
  <si>
    <t>Prod 179</t>
  </si>
  <si>
    <t>A1290</t>
  </si>
  <si>
    <t>Prod 180</t>
  </si>
  <si>
    <t>A1291</t>
  </si>
  <si>
    <t>Prod 181</t>
  </si>
  <si>
    <t>A1292</t>
  </si>
  <si>
    <t>Prod 182</t>
  </si>
  <si>
    <t>A1293</t>
  </si>
  <si>
    <t>Prod 183</t>
  </si>
  <si>
    <t>A1294</t>
  </si>
  <si>
    <t>Prod 184</t>
  </si>
  <si>
    <t>A1295</t>
  </si>
  <si>
    <t>Prod 185</t>
  </si>
  <si>
    <t>A1296</t>
  </si>
  <si>
    <t>Prod 186</t>
  </si>
  <si>
    <t>A1297</t>
  </si>
  <si>
    <t>Prod 187</t>
  </si>
  <si>
    <t>A1298</t>
  </si>
  <si>
    <t>Prod 188</t>
  </si>
  <si>
    <t>A1299</t>
  </si>
  <si>
    <t>Prod 189</t>
  </si>
  <si>
    <t>A1300</t>
  </si>
  <si>
    <t>Prod 190</t>
  </si>
  <si>
    <t>A1301</t>
  </si>
  <si>
    <t>Prod 191</t>
  </si>
  <si>
    <t>A1302</t>
  </si>
  <si>
    <t>Prod 192</t>
  </si>
  <si>
    <t>A1303</t>
  </si>
  <si>
    <t>Prod 193</t>
  </si>
  <si>
    <t>A1304</t>
  </si>
  <si>
    <t>Prod 194</t>
  </si>
  <si>
    <t>A1305</t>
  </si>
  <si>
    <t>Prod 195</t>
  </si>
  <si>
    <t>A1306</t>
  </si>
  <si>
    <t>Prod 196</t>
  </si>
  <si>
    <t>A1307</t>
  </si>
  <si>
    <t>Prod 197</t>
  </si>
  <si>
    <t>A1308</t>
  </si>
  <si>
    <t>Prod 198</t>
  </si>
  <si>
    <t>A1309</t>
  </si>
  <si>
    <t>Prod 199</t>
  </si>
  <si>
    <t>A1310</t>
  </si>
  <si>
    <t>Prod 200</t>
  </si>
  <si>
    <t>A1311</t>
  </si>
  <si>
    <t>Prod 201</t>
  </si>
  <si>
    <t>A1312</t>
  </si>
  <si>
    <t>Prod 202</t>
  </si>
  <si>
    <t>A1313</t>
  </si>
  <si>
    <t>Prod 203</t>
  </si>
  <si>
    <t>A1314</t>
  </si>
  <si>
    <t>Prod 204</t>
  </si>
  <si>
    <t>A1315</t>
  </si>
  <si>
    <t>Prod 205</t>
  </si>
  <si>
    <t>A1316</t>
  </si>
  <si>
    <t>Prod 206</t>
  </si>
  <si>
    <t>A1317</t>
  </si>
  <si>
    <t>Prod 207</t>
  </si>
  <si>
    <t>A1318</t>
  </si>
  <si>
    <t>Prod 208</t>
  </si>
  <si>
    <t>A1319</t>
  </si>
  <si>
    <t>Prod 209</t>
  </si>
  <si>
    <t>Barand C</t>
  </si>
  <si>
    <t>Barand D</t>
  </si>
  <si>
    <t>Row Labels</t>
  </si>
  <si>
    <t>Grand Total</t>
  </si>
  <si>
    <t>Sum of Inventory</t>
  </si>
  <si>
    <t>Box</t>
  </si>
  <si>
    <t>Order</t>
  </si>
  <si>
    <t>Remain</t>
  </si>
  <si>
    <t>Alabama</t>
  </si>
  <si>
    <t>Alaska</t>
  </si>
  <si>
    <t>Arizona</t>
  </si>
  <si>
    <t>Arkansas</t>
  </si>
  <si>
    <t>California</t>
  </si>
  <si>
    <t>Colorado</t>
  </si>
  <si>
    <t>Connecticut</t>
  </si>
  <si>
    <t>Delaware</t>
  </si>
  <si>
    <t>Florida</t>
  </si>
  <si>
    <t>Georgia</t>
  </si>
  <si>
    <t>Hawaii</t>
  </si>
  <si>
    <t>Idaho</t>
  </si>
  <si>
    <t>Illinois</t>
  </si>
  <si>
    <t>Indiana</t>
  </si>
  <si>
    <t>Iowa</t>
  </si>
  <si>
    <t>Kansas</t>
  </si>
  <si>
    <t>Louisiana</t>
  </si>
  <si>
    <t>Maine</t>
  </si>
  <si>
    <t>Maryland</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</si>
  <si>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</si>
  <si>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</si>
  <si>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</si>
  <si>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</si>
  <si>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</si>
  <si>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</si>
  <si>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</si>
  <si>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</si>
  <si>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</si>
  <si>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</si>
  <si>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</si>
  <si>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</si>
  <si>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</si>
  <si>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</si>
  <si>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</si>
  <si>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</si>
  <si>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Rhode Island[F]</t>
  </si>
  <si>
    <t>South Carolina</t>
  </si>
  <si>
    <t>South Dakota</t>
  </si>
  <si>
    <t>Tennessee</t>
  </si>
  <si>
    <t>Texas</t>
  </si>
  <si>
    <t>Utah</t>
  </si>
  <si>
    <t>Vermont</t>
  </si>
  <si>
    <t>Washington</t>
  </si>
  <si>
    <t>West Virginia</t>
  </si>
  <si>
    <t>Wisconsin</t>
  </si>
  <si>
    <t>Wyoming</t>
  </si>
  <si>
    <t>Values</t>
  </si>
  <si>
    <t>Kentucky_E</t>
  </si>
  <si>
    <t>Massachusetts_E</t>
  </si>
  <si>
    <t>Pennsylvania_E</t>
  </si>
  <si>
    <t>Virginia_E</t>
  </si>
  <si>
    <t>Inventory</t>
  </si>
  <si>
    <t>Company D</t>
  </si>
  <si>
    <t>Company C</t>
  </si>
  <si>
    <t>Company B</t>
  </si>
  <si>
    <t>Company A</t>
  </si>
  <si>
    <t>BOX</t>
  </si>
  <si>
    <t>inventory valuation</t>
  </si>
  <si>
    <t>Sum of Count in Box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</si>
</sst>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2" x14ac:knownFonts="1">
    <font>
      <sz val="11"/>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0" tint="-0.34998626667073579"/>
        <bgColor indexed="64"/>
      </patternFill>
    </fill>
    <fill>
      <patternFill patternType="solid">
        <fgColor theme="0"/>
        <bgColor indexed="64"/>
      </patternFill>
    </fill>
  </fills>
  <borders count="1">
    <border>
      <left/>
      <right/>
      <top/>
      <bottom/>
      <diagonal/>
    </border>
  </borders>
  <cellStyleXfs count="1">
    <xf numFmtId="0" fontId="0" fillId="0" borderId="0"/>
  </cellStyleXfs>
  <cellXfs count="12">
    <xf numFmtId="0" fontId="0" fillId="0" borderId="0" xfId="0"/>
    <xf numFmtId="0" fontId="0" fillId="0" borderId="0" xfId="0" applyAlignment="1">
      <alignment horizontal="center" vertical="center"/>
    </xf>
    <xf numFmtId="0" fontId="0" fillId="2" borderId="0" xfId="0" applyFill="1"/>
    <xf numFmtId="0" fontId="0" fillId="3" borderId="0" xfId="0" applyFill="1"/>
    <xf numFmtId="0" fontId="0" fillId="3" borderId="0" xfId="0" applyFill="1" applyAlignment="1">
      <alignment horizontal="left"/>
    </xf>
    <xf numFmtId="164" fontId="0" fillId="3" borderId="0" xfId="0" applyNumberFormat="1" applyFill="1"/>
    <xf numFmtId="0" fontId="0" fillId="3" borderId="0" xfId="0" applyNumberFormat="1" applyFill="1"/>
    <xf numFmtId="0" fontId="1" fillId="0" borderId="0" xfId="0" applyFont="1" applyAlignment="1">
      <alignment horizontal="center" vertical="center"/>
    </xf>
    <xf numFmtId="0" fontId="0" fillId="0" borderId="0" xfId="0" pivotButton="1" applyAlignment="1">
      <alignment horizontal="center" vertical="center"/>
    </xf>
    <xf numFmtId="0" fontId="0" fillId="0" borderId="0" xfId="0" applyNumberFormat="1" applyAlignment="1">
      <alignment horizontal="center" vertical="center"/>
    </xf>
    <xf numFmtId="0" fontId="0" fillId="3" borderId="0" xfId="0" applyFill="1" applyBorder="1"/>
    <xf numFmtId="0" fontId="0" fillId="0" borderId="0" xfId="0" applyAlignment="1" applyProtection="1">
      <alignment horizontal="center" vertical="center"/>
      <protection locked="0"/>
    </xf>
  </cellXfs>
  <cellStyles count="1">
    <cellStyle name="Normal" xfId="0" builtinId="0"/>
  </cellStyles>
  <dxfs count="524">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theme="0"/>
        </patternFill>
      </fill>
    </dxf>
    <dxf>
      <fill>
        <patternFill patternType="solid">
          <bgColor theme="0"/>
        </patternFill>
      </fill>
    </dxf>
    <dxf>
      <fill>
        <patternFill patternType="solid">
          <bgColor theme="0"/>
        </patternFill>
      </fill>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93.xml"/><Relationship Id="rId21" Type="http://schemas.openxmlformats.org/officeDocument/2006/relationships/styles" Target="styles.xml"/><Relationship Id="rId42" Type="http://schemas.openxmlformats.org/officeDocument/2006/relationships/customXml" Target="../customXml/item18.xml"/><Relationship Id="rId63" Type="http://schemas.openxmlformats.org/officeDocument/2006/relationships/customXml" Target="../customXml/item39.xml"/><Relationship Id="rId84" Type="http://schemas.openxmlformats.org/officeDocument/2006/relationships/customXml" Target="../customXml/item60.xml"/><Relationship Id="rId138" Type="http://schemas.openxmlformats.org/officeDocument/2006/relationships/customXml" Target="../customXml/item114.xml"/><Relationship Id="rId16" Type="http://schemas.openxmlformats.org/officeDocument/2006/relationships/pivotCacheDefinition" Target="pivotCache/pivotCacheDefinition4.xml"/><Relationship Id="rId107" Type="http://schemas.openxmlformats.org/officeDocument/2006/relationships/customXml" Target="../customXml/item83.xml"/><Relationship Id="rId11" Type="http://schemas.openxmlformats.org/officeDocument/2006/relationships/worksheet" Target="worksheets/sheet11.xml"/><Relationship Id="rId32" Type="http://schemas.openxmlformats.org/officeDocument/2006/relationships/customXml" Target="../customXml/item8.xml"/><Relationship Id="rId37" Type="http://schemas.openxmlformats.org/officeDocument/2006/relationships/customXml" Target="../customXml/item13.xml"/><Relationship Id="rId53" Type="http://schemas.openxmlformats.org/officeDocument/2006/relationships/customXml" Target="../customXml/item29.xml"/><Relationship Id="rId58" Type="http://schemas.openxmlformats.org/officeDocument/2006/relationships/customXml" Target="../customXml/item34.xml"/><Relationship Id="rId74" Type="http://schemas.openxmlformats.org/officeDocument/2006/relationships/customXml" Target="../customXml/item50.xml"/><Relationship Id="rId79" Type="http://schemas.openxmlformats.org/officeDocument/2006/relationships/customXml" Target="../customXml/item55.xml"/><Relationship Id="rId102" Type="http://schemas.openxmlformats.org/officeDocument/2006/relationships/customXml" Target="../customXml/item78.xml"/><Relationship Id="rId123" Type="http://schemas.openxmlformats.org/officeDocument/2006/relationships/customXml" Target="../customXml/item99.xml"/><Relationship Id="rId128" Type="http://schemas.openxmlformats.org/officeDocument/2006/relationships/customXml" Target="../customXml/item104.xml"/><Relationship Id="rId5" Type="http://schemas.openxmlformats.org/officeDocument/2006/relationships/worksheet" Target="worksheets/sheet5.xml"/><Relationship Id="rId90" Type="http://schemas.openxmlformats.org/officeDocument/2006/relationships/customXml" Target="../customXml/item66.xml"/><Relationship Id="rId95" Type="http://schemas.openxmlformats.org/officeDocument/2006/relationships/customXml" Target="../customXml/item71.xml"/><Relationship Id="rId22" Type="http://schemas.openxmlformats.org/officeDocument/2006/relationships/sharedStrings" Target="sharedStrings.xml"/><Relationship Id="rId27" Type="http://schemas.openxmlformats.org/officeDocument/2006/relationships/customXml" Target="../customXml/item3.xml"/><Relationship Id="rId43" Type="http://schemas.openxmlformats.org/officeDocument/2006/relationships/customXml" Target="../customXml/item19.xml"/><Relationship Id="rId48" Type="http://schemas.openxmlformats.org/officeDocument/2006/relationships/customXml" Target="../customXml/item24.xml"/><Relationship Id="rId64" Type="http://schemas.openxmlformats.org/officeDocument/2006/relationships/customXml" Target="../customXml/item40.xml"/><Relationship Id="rId69" Type="http://schemas.openxmlformats.org/officeDocument/2006/relationships/customXml" Target="../customXml/item45.xml"/><Relationship Id="rId113" Type="http://schemas.openxmlformats.org/officeDocument/2006/relationships/customXml" Target="../customXml/item89.xml"/><Relationship Id="rId118" Type="http://schemas.openxmlformats.org/officeDocument/2006/relationships/customXml" Target="../customXml/item94.xml"/><Relationship Id="rId134" Type="http://schemas.openxmlformats.org/officeDocument/2006/relationships/customXml" Target="../customXml/item110.xml"/><Relationship Id="rId139" Type="http://schemas.microsoft.com/office/2006/relationships/vbaProject" Target="vbaProject.bin"/><Relationship Id="rId80" Type="http://schemas.openxmlformats.org/officeDocument/2006/relationships/customXml" Target="../customXml/item56.xml"/><Relationship Id="rId85" Type="http://schemas.openxmlformats.org/officeDocument/2006/relationships/customXml" Target="../customXml/item61.xml"/><Relationship Id="rId12" Type="http://schemas.openxmlformats.org/officeDocument/2006/relationships/worksheet" Target="worksheets/sheet12.xml"/><Relationship Id="rId17" Type="http://schemas.microsoft.com/office/2007/relationships/slicerCache" Target="slicerCaches/slicerCache1.xml"/><Relationship Id="rId33" Type="http://schemas.openxmlformats.org/officeDocument/2006/relationships/customXml" Target="../customXml/item9.xml"/><Relationship Id="rId38" Type="http://schemas.openxmlformats.org/officeDocument/2006/relationships/customXml" Target="../customXml/item14.xml"/><Relationship Id="rId59" Type="http://schemas.openxmlformats.org/officeDocument/2006/relationships/customXml" Target="../customXml/item35.xml"/><Relationship Id="rId103" Type="http://schemas.openxmlformats.org/officeDocument/2006/relationships/customXml" Target="../customXml/item79.xml"/><Relationship Id="rId108" Type="http://schemas.openxmlformats.org/officeDocument/2006/relationships/customXml" Target="../customXml/item84.xml"/><Relationship Id="rId124" Type="http://schemas.openxmlformats.org/officeDocument/2006/relationships/customXml" Target="../customXml/item100.xml"/><Relationship Id="rId129" Type="http://schemas.openxmlformats.org/officeDocument/2006/relationships/customXml" Target="../customXml/item105.xml"/><Relationship Id="rId54" Type="http://schemas.openxmlformats.org/officeDocument/2006/relationships/customXml" Target="../customXml/item30.xml"/><Relationship Id="rId70" Type="http://schemas.openxmlformats.org/officeDocument/2006/relationships/customXml" Target="../customXml/item46.xml"/><Relationship Id="rId75" Type="http://schemas.openxmlformats.org/officeDocument/2006/relationships/customXml" Target="../customXml/item51.xml"/><Relationship Id="rId91" Type="http://schemas.openxmlformats.org/officeDocument/2006/relationships/customXml" Target="../customXml/item67.xml"/><Relationship Id="rId96" Type="http://schemas.openxmlformats.org/officeDocument/2006/relationships/customXml" Target="../customXml/item72.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powerPivotData" Target="model/item.data"/><Relationship Id="rId28" Type="http://schemas.openxmlformats.org/officeDocument/2006/relationships/customXml" Target="../customXml/item4.xml"/><Relationship Id="rId49" Type="http://schemas.openxmlformats.org/officeDocument/2006/relationships/customXml" Target="../customXml/item25.xml"/><Relationship Id="rId114" Type="http://schemas.openxmlformats.org/officeDocument/2006/relationships/customXml" Target="../customXml/item90.xml"/><Relationship Id="rId119" Type="http://schemas.openxmlformats.org/officeDocument/2006/relationships/customXml" Target="../customXml/item95.xml"/><Relationship Id="rId44" Type="http://schemas.openxmlformats.org/officeDocument/2006/relationships/customXml" Target="../customXml/item20.xml"/><Relationship Id="rId60" Type="http://schemas.openxmlformats.org/officeDocument/2006/relationships/customXml" Target="../customXml/item36.xml"/><Relationship Id="rId65" Type="http://schemas.openxmlformats.org/officeDocument/2006/relationships/customXml" Target="../customXml/item41.xml"/><Relationship Id="rId81" Type="http://schemas.openxmlformats.org/officeDocument/2006/relationships/customXml" Target="../customXml/item57.xml"/><Relationship Id="rId86" Type="http://schemas.openxmlformats.org/officeDocument/2006/relationships/customXml" Target="../customXml/item62.xml"/><Relationship Id="rId130" Type="http://schemas.openxmlformats.org/officeDocument/2006/relationships/customXml" Target="../customXml/item106.xml"/><Relationship Id="rId135" Type="http://schemas.openxmlformats.org/officeDocument/2006/relationships/customXml" Target="../customXml/item111.xml"/><Relationship Id="rId13" Type="http://schemas.openxmlformats.org/officeDocument/2006/relationships/pivotCacheDefinition" Target="pivotCache/pivotCacheDefinition1.xml"/><Relationship Id="rId18" Type="http://schemas.microsoft.com/office/2007/relationships/slicerCache" Target="slicerCaches/slicerCache2.xml"/><Relationship Id="rId39" Type="http://schemas.openxmlformats.org/officeDocument/2006/relationships/customXml" Target="../customXml/item15.xml"/><Relationship Id="rId109" Type="http://schemas.openxmlformats.org/officeDocument/2006/relationships/customXml" Target="../customXml/item85.xml"/><Relationship Id="rId34" Type="http://schemas.openxmlformats.org/officeDocument/2006/relationships/customXml" Target="../customXml/item10.xml"/><Relationship Id="rId50" Type="http://schemas.openxmlformats.org/officeDocument/2006/relationships/customXml" Target="../customXml/item26.xml"/><Relationship Id="rId55" Type="http://schemas.openxmlformats.org/officeDocument/2006/relationships/customXml" Target="../customXml/item31.xml"/><Relationship Id="rId76" Type="http://schemas.openxmlformats.org/officeDocument/2006/relationships/customXml" Target="../customXml/item52.xml"/><Relationship Id="rId97" Type="http://schemas.openxmlformats.org/officeDocument/2006/relationships/customXml" Target="../customXml/item73.xml"/><Relationship Id="rId104" Type="http://schemas.openxmlformats.org/officeDocument/2006/relationships/customXml" Target="../customXml/item80.xml"/><Relationship Id="rId120" Type="http://schemas.openxmlformats.org/officeDocument/2006/relationships/customXml" Target="../customXml/item96.xml"/><Relationship Id="rId125" Type="http://schemas.openxmlformats.org/officeDocument/2006/relationships/customXml" Target="../customXml/item101.xml"/><Relationship Id="rId7" Type="http://schemas.openxmlformats.org/officeDocument/2006/relationships/worksheet" Target="worksheets/sheet7.xml"/><Relationship Id="rId71" Type="http://schemas.openxmlformats.org/officeDocument/2006/relationships/customXml" Target="../customXml/item47.xml"/><Relationship Id="rId92" Type="http://schemas.openxmlformats.org/officeDocument/2006/relationships/customXml" Target="../customXml/item68.xml"/><Relationship Id="rId2" Type="http://schemas.openxmlformats.org/officeDocument/2006/relationships/worksheet" Target="worksheets/sheet2.xml"/><Relationship Id="rId29" Type="http://schemas.openxmlformats.org/officeDocument/2006/relationships/customXml" Target="../customXml/item5.xml"/><Relationship Id="rId24" Type="http://schemas.openxmlformats.org/officeDocument/2006/relationships/calcChain" Target="calcChain.xml"/><Relationship Id="rId40" Type="http://schemas.openxmlformats.org/officeDocument/2006/relationships/customXml" Target="../customXml/item16.xml"/><Relationship Id="rId45" Type="http://schemas.openxmlformats.org/officeDocument/2006/relationships/customXml" Target="../customXml/item21.xml"/><Relationship Id="rId66" Type="http://schemas.openxmlformats.org/officeDocument/2006/relationships/customXml" Target="../customXml/item42.xml"/><Relationship Id="rId87" Type="http://schemas.openxmlformats.org/officeDocument/2006/relationships/customXml" Target="../customXml/item63.xml"/><Relationship Id="rId110" Type="http://schemas.openxmlformats.org/officeDocument/2006/relationships/customXml" Target="../customXml/item86.xml"/><Relationship Id="rId115" Type="http://schemas.openxmlformats.org/officeDocument/2006/relationships/customXml" Target="../customXml/item91.xml"/><Relationship Id="rId131" Type="http://schemas.openxmlformats.org/officeDocument/2006/relationships/customXml" Target="../customXml/item107.xml"/><Relationship Id="rId136" Type="http://schemas.openxmlformats.org/officeDocument/2006/relationships/customXml" Target="../customXml/item112.xml"/><Relationship Id="rId61" Type="http://schemas.openxmlformats.org/officeDocument/2006/relationships/customXml" Target="../customXml/item37.xml"/><Relationship Id="rId82" Type="http://schemas.openxmlformats.org/officeDocument/2006/relationships/customXml" Target="../customXml/item58.xml"/><Relationship Id="rId19" Type="http://schemas.openxmlformats.org/officeDocument/2006/relationships/theme" Target="theme/theme1.xml"/><Relationship Id="rId14" Type="http://schemas.openxmlformats.org/officeDocument/2006/relationships/pivotCacheDefinition" Target="pivotCache/pivotCacheDefinition2.xml"/><Relationship Id="rId30" Type="http://schemas.openxmlformats.org/officeDocument/2006/relationships/customXml" Target="../customXml/item6.xml"/><Relationship Id="rId35" Type="http://schemas.openxmlformats.org/officeDocument/2006/relationships/customXml" Target="../customXml/item11.xml"/><Relationship Id="rId56" Type="http://schemas.openxmlformats.org/officeDocument/2006/relationships/customXml" Target="../customXml/item32.xml"/><Relationship Id="rId77" Type="http://schemas.openxmlformats.org/officeDocument/2006/relationships/customXml" Target="../customXml/item53.xml"/><Relationship Id="rId100" Type="http://schemas.openxmlformats.org/officeDocument/2006/relationships/customXml" Target="../customXml/item76.xml"/><Relationship Id="rId105" Type="http://schemas.openxmlformats.org/officeDocument/2006/relationships/customXml" Target="../customXml/item81.xml"/><Relationship Id="rId126" Type="http://schemas.openxmlformats.org/officeDocument/2006/relationships/customXml" Target="../customXml/item102.xml"/><Relationship Id="rId8" Type="http://schemas.openxmlformats.org/officeDocument/2006/relationships/worksheet" Target="worksheets/sheet8.xml"/><Relationship Id="rId51" Type="http://schemas.openxmlformats.org/officeDocument/2006/relationships/customXml" Target="../customXml/item27.xml"/><Relationship Id="rId72" Type="http://schemas.openxmlformats.org/officeDocument/2006/relationships/customXml" Target="../customXml/item48.xml"/><Relationship Id="rId93" Type="http://schemas.openxmlformats.org/officeDocument/2006/relationships/customXml" Target="../customXml/item69.xml"/><Relationship Id="rId98" Type="http://schemas.openxmlformats.org/officeDocument/2006/relationships/customXml" Target="../customXml/item74.xml"/><Relationship Id="rId121" Type="http://schemas.openxmlformats.org/officeDocument/2006/relationships/customXml" Target="../customXml/item97.xml"/><Relationship Id="rId3" Type="http://schemas.openxmlformats.org/officeDocument/2006/relationships/worksheet" Target="worksheets/sheet3.xml"/><Relationship Id="rId25" Type="http://schemas.openxmlformats.org/officeDocument/2006/relationships/customXml" Target="../customXml/item1.xml"/><Relationship Id="rId46" Type="http://schemas.openxmlformats.org/officeDocument/2006/relationships/customXml" Target="../customXml/item22.xml"/><Relationship Id="rId67" Type="http://schemas.openxmlformats.org/officeDocument/2006/relationships/customXml" Target="../customXml/item43.xml"/><Relationship Id="rId116" Type="http://schemas.openxmlformats.org/officeDocument/2006/relationships/customXml" Target="../customXml/item92.xml"/><Relationship Id="rId137" Type="http://schemas.openxmlformats.org/officeDocument/2006/relationships/customXml" Target="../customXml/item113.xml"/><Relationship Id="rId20" Type="http://schemas.openxmlformats.org/officeDocument/2006/relationships/connections" Target="connections.xml"/><Relationship Id="rId41" Type="http://schemas.openxmlformats.org/officeDocument/2006/relationships/customXml" Target="../customXml/item17.xml"/><Relationship Id="rId62" Type="http://schemas.openxmlformats.org/officeDocument/2006/relationships/customXml" Target="../customXml/item38.xml"/><Relationship Id="rId83" Type="http://schemas.openxmlformats.org/officeDocument/2006/relationships/customXml" Target="../customXml/item59.xml"/><Relationship Id="rId88" Type="http://schemas.openxmlformats.org/officeDocument/2006/relationships/customXml" Target="../customXml/item64.xml"/><Relationship Id="rId111" Type="http://schemas.openxmlformats.org/officeDocument/2006/relationships/customXml" Target="../customXml/item87.xml"/><Relationship Id="rId132" Type="http://schemas.openxmlformats.org/officeDocument/2006/relationships/customXml" Target="../customXml/item108.xml"/><Relationship Id="rId15" Type="http://schemas.openxmlformats.org/officeDocument/2006/relationships/pivotCacheDefinition" Target="pivotCache/pivotCacheDefinition3.xml"/><Relationship Id="rId36" Type="http://schemas.openxmlformats.org/officeDocument/2006/relationships/customXml" Target="../customXml/item12.xml"/><Relationship Id="rId57" Type="http://schemas.openxmlformats.org/officeDocument/2006/relationships/customXml" Target="../customXml/item33.xml"/><Relationship Id="rId106" Type="http://schemas.openxmlformats.org/officeDocument/2006/relationships/customXml" Target="../customXml/item82.xml"/><Relationship Id="rId127" Type="http://schemas.openxmlformats.org/officeDocument/2006/relationships/customXml" Target="../customXml/item103.xml"/><Relationship Id="rId10" Type="http://schemas.openxmlformats.org/officeDocument/2006/relationships/worksheet" Target="worksheets/sheet10.xml"/><Relationship Id="rId31" Type="http://schemas.openxmlformats.org/officeDocument/2006/relationships/customXml" Target="../customXml/item7.xml"/><Relationship Id="rId52" Type="http://schemas.openxmlformats.org/officeDocument/2006/relationships/customXml" Target="../customXml/item28.xml"/><Relationship Id="rId73" Type="http://schemas.openxmlformats.org/officeDocument/2006/relationships/customXml" Target="../customXml/item49.xml"/><Relationship Id="rId78" Type="http://schemas.openxmlformats.org/officeDocument/2006/relationships/customXml" Target="../customXml/item54.xml"/><Relationship Id="rId94" Type="http://schemas.openxmlformats.org/officeDocument/2006/relationships/customXml" Target="../customXml/item70.xml"/><Relationship Id="rId99" Type="http://schemas.openxmlformats.org/officeDocument/2006/relationships/customXml" Target="../customXml/item75.xml"/><Relationship Id="rId101" Type="http://schemas.openxmlformats.org/officeDocument/2006/relationships/customXml" Target="../customXml/item77.xml"/><Relationship Id="rId122" Type="http://schemas.openxmlformats.org/officeDocument/2006/relationships/customXml" Target="../customXml/item98.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customXml" Target="../customXml/item2.xml"/><Relationship Id="rId47" Type="http://schemas.openxmlformats.org/officeDocument/2006/relationships/customXml" Target="../customXml/item23.xml"/><Relationship Id="rId68" Type="http://schemas.openxmlformats.org/officeDocument/2006/relationships/customXml" Target="../customXml/item44.xml"/><Relationship Id="rId89" Type="http://schemas.openxmlformats.org/officeDocument/2006/relationships/customXml" Target="../customXml/item65.xml"/><Relationship Id="rId112" Type="http://schemas.openxmlformats.org/officeDocument/2006/relationships/customXml" Target="../customXml/item88.xml"/><Relationship Id="rId133" Type="http://schemas.openxmlformats.org/officeDocument/2006/relationships/customXml" Target="../customXml/item10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79176FB0-B7F2-11CE-97EF-00AA006D2776}"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last.xlsm]Inventory!PivotTable2</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s>
    <c:plotArea>
      <c:layout/>
      <c:pieChart>
        <c:varyColors val="1"/>
        <c:ser>
          <c:idx val="0"/>
          <c:order val="0"/>
          <c:tx>
            <c:strRef>
              <c:f>Inventory!$H$2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DBF-496D-BAAF-9C66F4D8337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DBF-496D-BAAF-9C66F4D8337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DBF-496D-BAAF-9C66F4D8337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DBF-496D-BAAF-9C66F4D83379}"/>
              </c:ext>
            </c:extLst>
          </c:dPt>
          <c:cat>
            <c:strRef>
              <c:f>Inventory!$G$3:$G$7</c:f>
              <c:strCache>
                <c:ptCount val="4"/>
                <c:pt idx="0">
                  <c:v>Barand A</c:v>
                </c:pt>
                <c:pt idx="1">
                  <c:v>Barand B</c:v>
                </c:pt>
                <c:pt idx="2">
                  <c:v>Barand C</c:v>
                </c:pt>
                <c:pt idx="3">
                  <c:v>Barand D</c:v>
                </c:pt>
              </c:strCache>
            </c:strRef>
          </c:cat>
          <c:val>
            <c:numRef>
              <c:f>Inventory!$H$3:$H$7</c:f>
              <c:numCache>
                <c:formatCode>General</c:formatCode>
                <c:ptCount val="4"/>
                <c:pt idx="0">
                  <c:v>588</c:v>
                </c:pt>
                <c:pt idx="1">
                  <c:v>2400</c:v>
                </c:pt>
                <c:pt idx="2">
                  <c:v>9840</c:v>
                </c:pt>
                <c:pt idx="3">
                  <c:v>2640</c:v>
                </c:pt>
              </c:numCache>
            </c:numRef>
          </c:val>
          <c:extLst>
            <c:ext xmlns:c16="http://schemas.microsoft.com/office/drawing/2014/chart" uri="{C3380CC4-5D6E-409C-BE32-E72D297353CC}">
              <c16:uniqueId val="{00000000-F9F0-4E73-A739-E656A8E2257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3</xdr:col>
          <xdr:colOff>76200</xdr:colOff>
          <xdr:row>27</xdr:row>
          <xdr:rowOff>180975</xdr:rowOff>
        </xdr:to>
        <xdr:sp macro="" textlink="">
          <xdr:nvSpPr>
            <xdr:cNvPr id="3073" name="ListBox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0</xdr:row>
          <xdr:rowOff>0</xdr:rowOff>
        </xdr:from>
        <xdr:to>
          <xdr:col>8</xdr:col>
          <xdr:colOff>200025</xdr:colOff>
          <xdr:row>27</xdr:row>
          <xdr:rowOff>180975</xdr:rowOff>
        </xdr:to>
        <xdr:sp macro="" textlink="">
          <xdr:nvSpPr>
            <xdr:cNvPr id="3075" name="ListBox2"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4</xdr:row>
          <xdr:rowOff>0</xdr:rowOff>
        </xdr:from>
        <xdr:to>
          <xdr:col>4</xdr:col>
          <xdr:colOff>485775</xdr:colOff>
          <xdr:row>5</xdr:row>
          <xdr:rowOff>114300</xdr:rowOff>
        </xdr:to>
        <xdr:sp macro="" textlink="">
          <xdr:nvSpPr>
            <xdr:cNvPr id="3079" name="cmbtload"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6</xdr:row>
          <xdr:rowOff>47625</xdr:rowOff>
        </xdr:from>
        <xdr:to>
          <xdr:col>4</xdr:col>
          <xdr:colOff>485775</xdr:colOff>
          <xdr:row>7</xdr:row>
          <xdr:rowOff>161925</xdr:rowOff>
        </xdr:to>
        <xdr:sp macro="" textlink="">
          <xdr:nvSpPr>
            <xdr:cNvPr id="3081" name="cmbdto2"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11</xdr:row>
          <xdr:rowOff>9525</xdr:rowOff>
        </xdr:from>
        <xdr:to>
          <xdr:col>4</xdr:col>
          <xdr:colOff>200025</xdr:colOff>
          <xdr:row>15</xdr:row>
          <xdr:rowOff>9525</xdr:rowOff>
        </xdr:to>
        <xdr:sp macro="" textlink="">
          <xdr:nvSpPr>
            <xdr:cNvPr id="3082" name="SpinButton"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8</xdr:row>
          <xdr:rowOff>104775</xdr:rowOff>
        </xdr:from>
        <xdr:to>
          <xdr:col>4</xdr:col>
          <xdr:colOff>485775</xdr:colOff>
          <xdr:row>10</xdr:row>
          <xdr:rowOff>28575</xdr:rowOff>
        </xdr:to>
        <xdr:sp macro="" textlink="">
          <xdr:nvSpPr>
            <xdr:cNvPr id="3083" name="cmnbtnmksheet"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466725</xdr:colOff>
      <xdr:row>0</xdr:row>
      <xdr:rowOff>152400</xdr:rowOff>
    </xdr:from>
    <xdr:to>
      <xdr:col>27</xdr:col>
      <xdr:colOff>219075</xdr:colOff>
      <xdr:row>29</xdr:row>
      <xdr:rowOff>14270</xdr:rowOff>
    </xdr:to>
    <xdr:sp macro="" textlink="">
      <xdr:nvSpPr>
        <xdr:cNvPr id="2" name="Speech Bubble: Rectangle with Corners Rounded 1">
          <a:extLst>
            <a:ext uri="{FF2B5EF4-FFF2-40B4-BE49-F238E27FC236}">
              <a16:creationId xmlns:a16="http://schemas.microsoft.com/office/drawing/2014/main" id="{00000000-0008-0000-0000-000002000000}"/>
            </a:ext>
          </a:extLst>
        </xdr:cNvPr>
        <xdr:cNvSpPr/>
      </xdr:nvSpPr>
      <xdr:spPr>
        <a:xfrm>
          <a:off x="5343525" y="152400"/>
          <a:ext cx="11334750" cy="5386370"/>
        </a:xfrm>
        <a:custGeom>
          <a:avLst/>
          <a:gdLst>
            <a:gd name="connsiteX0" fmla="*/ 0 w 10706100"/>
            <a:gd name="connsiteY0" fmla="*/ 895368 h 5372100"/>
            <a:gd name="connsiteX1" fmla="*/ 895368 w 10706100"/>
            <a:gd name="connsiteY1" fmla="*/ 0 h 5372100"/>
            <a:gd name="connsiteX2" fmla="*/ 1784350 w 10706100"/>
            <a:gd name="connsiteY2" fmla="*/ 0 h 5372100"/>
            <a:gd name="connsiteX3" fmla="*/ 1784350 w 10706100"/>
            <a:gd name="connsiteY3" fmla="*/ 0 h 5372100"/>
            <a:gd name="connsiteX4" fmla="*/ 4460875 w 10706100"/>
            <a:gd name="connsiteY4" fmla="*/ 0 h 5372100"/>
            <a:gd name="connsiteX5" fmla="*/ 9810732 w 10706100"/>
            <a:gd name="connsiteY5" fmla="*/ 0 h 5372100"/>
            <a:gd name="connsiteX6" fmla="*/ 10706100 w 10706100"/>
            <a:gd name="connsiteY6" fmla="*/ 895368 h 5372100"/>
            <a:gd name="connsiteX7" fmla="*/ 10706100 w 10706100"/>
            <a:gd name="connsiteY7" fmla="*/ 3133725 h 5372100"/>
            <a:gd name="connsiteX8" fmla="*/ 10706100 w 10706100"/>
            <a:gd name="connsiteY8" fmla="*/ 3133725 h 5372100"/>
            <a:gd name="connsiteX9" fmla="*/ 10706100 w 10706100"/>
            <a:gd name="connsiteY9" fmla="*/ 4476750 h 5372100"/>
            <a:gd name="connsiteX10" fmla="*/ 10706100 w 10706100"/>
            <a:gd name="connsiteY10" fmla="*/ 4476732 h 5372100"/>
            <a:gd name="connsiteX11" fmla="*/ 9810732 w 10706100"/>
            <a:gd name="connsiteY11" fmla="*/ 5372100 h 5372100"/>
            <a:gd name="connsiteX12" fmla="*/ 4460875 w 10706100"/>
            <a:gd name="connsiteY12" fmla="*/ 5372100 h 5372100"/>
            <a:gd name="connsiteX13" fmla="*/ 2208240 w 10706100"/>
            <a:gd name="connsiteY13" fmla="*/ 6272195 h 5372100"/>
            <a:gd name="connsiteX14" fmla="*/ 1784350 w 10706100"/>
            <a:gd name="connsiteY14" fmla="*/ 5372100 h 5372100"/>
            <a:gd name="connsiteX15" fmla="*/ 895368 w 10706100"/>
            <a:gd name="connsiteY15" fmla="*/ 5372100 h 5372100"/>
            <a:gd name="connsiteX16" fmla="*/ 0 w 10706100"/>
            <a:gd name="connsiteY16" fmla="*/ 4476732 h 5372100"/>
            <a:gd name="connsiteX17" fmla="*/ 0 w 10706100"/>
            <a:gd name="connsiteY17" fmla="*/ 4476750 h 5372100"/>
            <a:gd name="connsiteX18" fmla="*/ 0 w 10706100"/>
            <a:gd name="connsiteY18" fmla="*/ 3133725 h 5372100"/>
            <a:gd name="connsiteX19" fmla="*/ 0 w 10706100"/>
            <a:gd name="connsiteY19" fmla="*/ 3133725 h 5372100"/>
            <a:gd name="connsiteX20" fmla="*/ 0 w 10706100"/>
            <a:gd name="connsiteY20" fmla="*/ 895368 h 5372100"/>
            <a:gd name="connsiteX0" fmla="*/ 742950 w 11449050"/>
            <a:gd name="connsiteY0" fmla="*/ 895368 h 6272195"/>
            <a:gd name="connsiteX1" fmla="*/ 1638318 w 11449050"/>
            <a:gd name="connsiteY1" fmla="*/ 0 h 6272195"/>
            <a:gd name="connsiteX2" fmla="*/ 2527300 w 11449050"/>
            <a:gd name="connsiteY2" fmla="*/ 0 h 6272195"/>
            <a:gd name="connsiteX3" fmla="*/ 2527300 w 11449050"/>
            <a:gd name="connsiteY3" fmla="*/ 0 h 6272195"/>
            <a:gd name="connsiteX4" fmla="*/ 5203825 w 11449050"/>
            <a:gd name="connsiteY4" fmla="*/ 0 h 6272195"/>
            <a:gd name="connsiteX5" fmla="*/ 10553682 w 11449050"/>
            <a:gd name="connsiteY5" fmla="*/ 0 h 6272195"/>
            <a:gd name="connsiteX6" fmla="*/ 11449050 w 11449050"/>
            <a:gd name="connsiteY6" fmla="*/ 895368 h 6272195"/>
            <a:gd name="connsiteX7" fmla="*/ 11449050 w 11449050"/>
            <a:gd name="connsiteY7" fmla="*/ 3133725 h 6272195"/>
            <a:gd name="connsiteX8" fmla="*/ 11449050 w 11449050"/>
            <a:gd name="connsiteY8" fmla="*/ 3133725 h 6272195"/>
            <a:gd name="connsiteX9" fmla="*/ 11449050 w 11449050"/>
            <a:gd name="connsiteY9" fmla="*/ 4476750 h 6272195"/>
            <a:gd name="connsiteX10" fmla="*/ 11449050 w 11449050"/>
            <a:gd name="connsiteY10" fmla="*/ 4476732 h 6272195"/>
            <a:gd name="connsiteX11" fmla="*/ 10553682 w 11449050"/>
            <a:gd name="connsiteY11" fmla="*/ 5372100 h 6272195"/>
            <a:gd name="connsiteX12" fmla="*/ 5203825 w 11449050"/>
            <a:gd name="connsiteY12" fmla="*/ 5372100 h 6272195"/>
            <a:gd name="connsiteX13" fmla="*/ 2951190 w 11449050"/>
            <a:gd name="connsiteY13" fmla="*/ 6272195 h 6272195"/>
            <a:gd name="connsiteX14" fmla="*/ 2527300 w 11449050"/>
            <a:gd name="connsiteY14" fmla="*/ 5372100 h 6272195"/>
            <a:gd name="connsiteX15" fmla="*/ 1638318 w 11449050"/>
            <a:gd name="connsiteY15" fmla="*/ 5372100 h 6272195"/>
            <a:gd name="connsiteX16" fmla="*/ 742950 w 11449050"/>
            <a:gd name="connsiteY16" fmla="*/ 4476732 h 6272195"/>
            <a:gd name="connsiteX17" fmla="*/ 742950 w 11449050"/>
            <a:gd name="connsiteY17" fmla="*/ 4476750 h 6272195"/>
            <a:gd name="connsiteX18" fmla="*/ 742950 w 11449050"/>
            <a:gd name="connsiteY18" fmla="*/ 3133725 h 6272195"/>
            <a:gd name="connsiteX19" fmla="*/ 0 w 11449050"/>
            <a:gd name="connsiteY19" fmla="*/ 3105150 h 6272195"/>
            <a:gd name="connsiteX20" fmla="*/ 742950 w 11449050"/>
            <a:gd name="connsiteY20" fmla="*/ 895368 h 6272195"/>
            <a:gd name="connsiteX0" fmla="*/ 742950 w 11449050"/>
            <a:gd name="connsiteY0" fmla="*/ 895368 h 5386370"/>
            <a:gd name="connsiteX1" fmla="*/ 1638318 w 11449050"/>
            <a:gd name="connsiteY1" fmla="*/ 0 h 5386370"/>
            <a:gd name="connsiteX2" fmla="*/ 2527300 w 11449050"/>
            <a:gd name="connsiteY2" fmla="*/ 0 h 5386370"/>
            <a:gd name="connsiteX3" fmla="*/ 2527300 w 11449050"/>
            <a:gd name="connsiteY3" fmla="*/ 0 h 5386370"/>
            <a:gd name="connsiteX4" fmla="*/ 5203825 w 11449050"/>
            <a:gd name="connsiteY4" fmla="*/ 0 h 5386370"/>
            <a:gd name="connsiteX5" fmla="*/ 10553682 w 11449050"/>
            <a:gd name="connsiteY5" fmla="*/ 0 h 5386370"/>
            <a:gd name="connsiteX6" fmla="*/ 11449050 w 11449050"/>
            <a:gd name="connsiteY6" fmla="*/ 895368 h 5386370"/>
            <a:gd name="connsiteX7" fmla="*/ 11449050 w 11449050"/>
            <a:gd name="connsiteY7" fmla="*/ 3133725 h 5386370"/>
            <a:gd name="connsiteX8" fmla="*/ 11449050 w 11449050"/>
            <a:gd name="connsiteY8" fmla="*/ 3133725 h 5386370"/>
            <a:gd name="connsiteX9" fmla="*/ 11449050 w 11449050"/>
            <a:gd name="connsiteY9" fmla="*/ 4476750 h 5386370"/>
            <a:gd name="connsiteX10" fmla="*/ 11449050 w 11449050"/>
            <a:gd name="connsiteY10" fmla="*/ 4476732 h 5386370"/>
            <a:gd name="connsiteX11" fmla="*/ 10553682 w 11449050"/>
            <a:gd name="connsiteY11" fmla="*/ 5372100 h 5386370"/>
            <a:gd name="connsiteX12" fmla="*/ 5203825 w 11449050"/>
            <a:gd name="connsiteY12" fmla="*/ 5372100 h 5386370"/>
            <a:gd name="connsiteX13" fmla="*/ 5170515 w 11449050"/>
            <a:gd name="connsiteY13" fmla="*/ 5386370 h 5386370"/>
            <a:gd name="connsiteX14" fmla="*/ 2527300 w 11449050"/>
            <a:gd name="connsiteY14" fmla="*/ 5372100 h 5386370"/>
            <a:gd name="connsiteX15" fmla="*/ 1638318 w 11449050"/>
            <a:gd name="connsiteY15" fmla="*/ 5372100 h 5386370"/>
            <a:gd name="connsiteX16" fmla="*/ 742950 w 11449050"/>
            <a:gd name="connsiteY16" fmla="*/ 4476732 h 5386370"/>
            <a:gd name="connsiteX17" fmla="*/ 742950 w 11449050"/>
            <a:gd name="connsiteY17" fmla="*/ 4476750 h 5386370"/>
            <a:gd name="connsiteX18" fmla="*/ 742950 w 11449050"/>
            <a:gd name="connsiteY18" fmla="*/ 3133725 h 5386370"/>
            <a:gd name="connsiteX19" fmla="*/ 0 w 11449050"/>
            <a:gd name="connsiteY19" fmla="*/ 3105150 h 5386370"/>
            <a:gd name="connsiteX20" fmla="*/ 742950 w 11449050"/>
            <a:gd name="connsiteY20" fmla="*/ 895368 h 5386370"/>
            <a:gd name="connsiteX0" fmla="*/ 742950 w 11449050"/>
            <a:gd name="connsiteY0" fmla="*/ 895368 h 5386370"/>
            <a:gd name="connsiteX1" fmla="*/ 1638318 w 11449050"/>
            <a:gd name="connsiteY1" fmla="*/ 0 h 5386370"/>
            <a:gd name="connsiteX2" fmla="*/ 2527300 w 11449050"/>
            <a:gd name="connsiteY2" fmla="*/ 0 h 5386370"/>
            <a:gd name="connsiteX3" fmla="*/ 2527300 w 11449050"/>
            <a:gd name="connsiteY3" fmla="*/ 0 h 5386370"/>
            <a:gd name="connsiteX4" fmla="*/ 5203825 w 11449050"/>
            <a:gd name="connsiteY4" fmla="*/ 0 h 5386370"/>
            <a:gd name="connsiteX5" fmla="*/ 10553682 w 11449050"/>
            <a:gd name="connsiteY5" fmla="*/ 0 h 5386370"/>
            <a:gd name="connsiteX6" fmla="*/ 11449050 w 11449050"/>
            <a:gd name="connsiteY6" fmla="*/ 895368 h 5386370"/>
            <a:gd name="connsiteX7" fmla="*/ 11449050 w 11449050"/>
            <a:gd name="connsiteY7" fmla="*/ 3133725 h 5386370"/>
            <a:gd name="connsiteX8" fmla="*/ 11449050 w 11449050"/>
            <a:gd name="connsiteY8" fmla="*/ 3133725 h 5386370"/>
            <a:gd name="connsiteX9" fmla="*/ 11449050 w 11449050"/>
            <a:gd name="connsiteY9" fmla="*/ 4476750 h 5386370"/>
            <a:gd name="connsiteX10" fmla="*/ 11449050 w 11449050"/>
            <a:gd name="connsiteY10" fmla="*/ 4476732 h 5386370"/>
            <a:gd name="connsiteX11" fmla="*/ 10553682 w 11449050"/>
            <a:gd name="connsiteY11" fmla="*/ 5372100 h 5386370"/>
            <a:gd name="connsiteX12" fmla="*/ 5203825 w 11449050"/>
            <a:gd name="connsiteY12" fmla="*/ 5372100 h 5386370"/>
            <a:gd name="connsiteX13" fmla="*/ 5170515 w 11449050"/>
            <a:gd name="connsiteY13" fmla="*/ 5386370 h 5386370"/>
            <a:gd name="connsiteX14" fmla="*/ 2527300 w 11449050"/>
            <a:gd name="connsiteY14" fmla="*/ 5372100 h 5386370"/>
            <a:gd name="connsiteX15" fmla="*/ 1638318 w 11449050"/>
            <a:gd name="connsiteY15" fmla="*/ 5372100 h 5386370"/>
            <a:gd name="connsiteX16" fmla="*/ 742950 w 11449050"/>
            <a:gd name="connsiteY16" fmla="*/ 4476732 h 5386370"/>
            <a:gd name="connsiteX17" fmla="*/ 742950 w 11449050"/>
            <a:gd name="connsiteY17" fmla="*/ 4476750 h 5386370"/>
            <a:gd name="connsiteX18" fmla="*/ 685800 w 11449050"/>
            <a:gd name="connsiteY18" fmla="*/ 3581400 h 5386370"/>
            <a:gd name="connsiteX19" fmla="*/ 0 w 11449050"/>
            <a:gd name="connsiteY19" fmla="*/ 3105150 h 5386370"/>
            <a:gd name="connsiteX20" fmla="*/ 742950 w 11449050"/>
            <a:gd name="connsiteY20" fmla="*/ 895368 h 5386370"/>
            <a:gd name="connsiteX0" fmla="*/ 628650 w 11334750"/>
            <a:gd name="connsiteY0" fmla="*/ 895368 h 5386370"/>
            <a:gd name="connsiteX1" fmla="*/ 1524018 w 11334750"/>
            <a:gd name="connsiteY1" fmla="*/ 0 h 5386370"/>
            <a:gd name="connsiteX2" fmla="*/ 2413000 w 11334750"/>
            <a:gd name="connsiteY2" fmla="*/ 0 h 5386370"/>
            <a:gd name="connsiteX3" fmla="*/ 2413000 w 11334750"/>
            <a:gd name="connsiteY3" fmla="*/ 0 h 5386370"/>
            <a:gd name="connsiteX4" fmla="*/ 5089525 w 11334750"/>
            <a:gd name="connsiteY4" fmla="*/ 0 h 5386370"/>
            <a:gd name="connsiteX5" fmla="*/ 10439382 w 11334750"/>
            <a:gd name="connsiteY5" fmla="*/ 0 h 5386370"/>
            <a:gd name="connsiteX6" fmla="*/ 11334750 w 11334750"/>
            <a:gd name="connsiteY6" fmla="*/ 895368 h 5386370"/>
            <a:gd name="connsiteX7" fmla="*/ 11334750 w 11334750"/>
            <a:gd name="connsiteY7" fmla="*/ 3133725 h 5386370"/>
            <a:gd name="connsiteX8" fmla="*/ 11334750 w 11334750"/>
            <a:gd name="connsiteY8" fmla="*/ 3133725 h 5386370"/>
            <a:gd name="connsiteX9" fmla="*/ 11334750 w 11334750"/>
            <a:gd name="connsiteY9" fmla="*/ 4476750 h 5386370"/>
            <a:gd name="connsiteX10" fmla="*/ 11334750 w 11334750"/>
            <a:gd name="connsiteY10" fmla="*/ 4476732 h 5386370"/>
            <a:gd name="connsiteX11" fmla="*/ 10439382 w 11334750"/>
            <a:gd name="connsiteY11" fmla="*/ 5372100 h 5386370"/>
            <a:gd name="connsiteX12" fmla="*/ 5089525 w 11334750"/>
            <a:gd name="connsiteY12" fmla="*/ 5372100 h 5386370"/>
            <a:gd name="connsiteX13" fmla="*/ 5056215 w 11334750"/>
            <a:gd name="connsiteY13" fmla="*/ 5386370 h 5386370"/>
            <a:gd name="connsiteX14" fmla="*/ 2413000 w 11334750"/>
            <a:gd name="connsiteY14" fmla="*/ 5372100 h 5386370"/>
            <a:gd name="connsiteX15" fmla="*/ 1524018 w 11334750"/>
            <a:gd name="connsiteY15" fmla="*/ 5372100 h 5386370"/>
            <a:gd name="connsiteX16" fmla="*/ 628650 w 11334750"/>
            <a:gd name="connsiteY16" fmla="*/ 4476732 h 5386370"/>
            <a:gd name="connsiteX17" fmla="*/ 628650 w 11334750"/>
            <a:gd name="connsiteY17" fmla="*/ 4476750 h 5386370"/>
            <a:gd name="connsiteX18" fmla="*/ 571500 w 11334750"/>
            <a:gd name="connsiteY18" fmla="*/ 3581400 h 5386370"/>
            <a:gd name="connsiteX19" fmla="*/ 0 w 11334750"/>
            <a:gd name="connsiteY19" fmla="*/ 3105150 h 5386370"/>
            <a:gd name="connsiteX20" fmla="*/ 628650 w 11334750"/>
            <a:gd name="connsiteY20" fmla="*/ 895368 h 5386370"/>
            <a:gd name="connsiteX0" fmla="*/ 628650 w 11334750"/>
            <a:gd name="connsiteY0" fmla="*/ 895368 h 5386370"/>
            <a:gd name="connsiteX1" fmla="*/ 1524018 w 11334750"/>
            <a:gd name="connsiteY1" fmla="*/ 0 h 5386370"/>
            <a:gd name="connsiteX2" fmla="*/ 2413000 w 11334750"/>
            <a:gd name="connsiteY2" fmla="*/ 0 h 5386370"/>
            <a:gd name="connsiteX3" fmla="*/ 2413000 w 11334750"/>
            <a:gd name="connsiteY3" fmla="*/ 0 h 5386370"/>
            <a:gd name="connsiteX4" fmla="*/ 5089525 w 11334750"/>
            <a:gd name="connsiteY4" fmla="*/ 0 h 5386370"/>
            <a:gd name="connsiteX5" fmla="*/ 10439382 w 11334750"/>
            <a:gd name="connsiteY5" fmla="*/ 0 h 5386370"/>
            <a:gd name="connsiteX6" fmla="*/ 11334750 w 11334750"/>
            <a:gd name="connsiteY6" fmla="*/ 895368 h 5386370"/>
            <a:gd name="connsiteX7" fmla="*/ 11334750 w 11334750"/>
            <a:gd name="connsiteY7" fmla="*/ 3133725 h 5386370"/>
            <a:gd name="connsiteX8" fmla="*/ 11334750 w 11334750"/>
            <a:gd name="connsiteY8" fmla="*/ 3133725 h 5386370"/>
            <a:gd name="connsiteX9" fmla="*/ 11334750 w 11334750"/>
            <a:gd name="connsiteY9" fmla="*/ 4476750 h 5386370"/>
            <a:gd name="connsiteX10" fmla="*/ 11334750 w 11334750"/>
            <a:gd name="connsiteY10" fmla="*/ 4476732 h 5386370"/>
            <a:gd name="connsiteX11" fmla="*/ 10439382 w 11334750"/>
            <a:gd name="connsiteY11" fmla="*/ 5372100 h 5386370"/>
            <a:gd name="connsiteX12" fmla="*/ 5089525 w 11334750"/>
            <a:gd name="connsiteY12" fmla="*/ 5372100 h 5386370"/>
            <a:gd name="connsiteX13" fmla="*/ 5056215 w 11334750"/>
            <a:gd name="connsiteY13" fmla="*/ 5386370 h 5386370"/>
            <a:gd name="connsiteX14" fmla="*/ 2413000 w 11334750"/>
            <a:gd name="connsiteY14" fmla="*/ 5372100 h 5386370"/>
            <a:gd name="connsiteX15" fmla="*/ 1524018 w 11334750"/>
            <a:gd name="connsiteY15" fmla="*/ 5372100 h 5386370"/>
            <a:gd name="connsiteX16" fmla="*/ 628650 w 11334750"/>
            <a:gd name="connsiteY16" fmla="*/ 4476732 h 5386370"/>
            <a:gd name="connsiteX17" fmla="*/ 628650 w 11334750"/>
            <a:gd name="connsiteY17" fmla="*/ 4476750 h 5386370"/>
            <a:gd name="connsiteX18" fmla="*/ 571500 w 11334750"/>
            <a:gd name="connsiteY18" fmla="*/ 3581400 h 5386370"/>
            <a:gd name="connsiteX19" fmla="*/ 0 w 11334750"/>
            <a:gd name="connsiteY19" fmla="*/ 3105150 h 5386370"/>
            <a:gd name="connsiteX20" fmla="*/ 628650 w 11334750"/>
            <a:gd name="connsiteY20" fmla="*/ 895368 h 538637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1334750" h="5386370">
              <a:moveTo>
                <a:pt x="628650" y="895368"/>
              </a:moveTo>
              <a:cubicBezTo>
                <a:pt x="628650" y="400870"/>
                <a:pt x="1029520" y="0"/>
                <a:pt x="1524018" y="0"/>
              </a:cubicBezTo>
              <a:lnTo>
                <a:pt x="2413000" y="0"/>
              </a:lnTo>
              <a:lnTo>
                <a:pt x="2413000" y="0"/>
              </a:lnTo>
              <a:lnTo>
                <a:pt x="5089525" y="0"/>
              </a:lnTo>
              <a:lnTo>
                <a:pt x="10439382" y="0"/>
              </a:lnTo>
              <a:cubicBezTo>
                <a:pt x="10933880" y="0"/>
                <a:pt x="11334750" y="400870"/>
                <a:pt x="11334750" y="895368"/>
              </a:cubicBezTo>
              <a:lnTo>
                <a:pt x="11334750" y="3133725"/>
              </a:lnTo>
              <a:lnTo>
                <a:pt x="11334750" y="3133725"/>
              </a:lnTo>
              <a:lnTo>
                <a:pt x="11334750" y="4476750"/>
              </a:lnTo>
              <a:lnTo>
                <a:pt x="11334750" y="4476732"/>
              </a:lnTo>
              <a:cubicBezTo>
                <a:pt x="11334750" y="4971230"/>
                <a:pt x="10933880" y="5372100"/>
                <a:pt x="10439382" y="5372100"/>
              </a:cubicBezTo>
              <a:lnTo>
                <a:pt x="5089525" y="5372100"/>
              </a:lnTo>
              <a:lnTo>
                <a:pt x="5056215" y="5386370"/>
              </a:lnTo>
              <a:lnTo>
                <a:pt x="2413000" y="5372100"/>
              </a:lnTo>
              <a:lnTo>
                <a:pt x="1524018" y="5372100"/>
              </a:lnTo>
              <a:cubicBezTo>
                <a:pt x="1029520" y="5372100"/>
                <a:pt x="628650" y="4971230"/>
                <a:pt x="628650" y="4476732"/>
              </a:cubicBezTo>
              <a:lnTo>
                <a:pt x="628650" y="4476750"/>
              </a:lnTo>
              <a:lnTo>
                <a:pt x="571500" y="3581400"/>
              </a:lnTo>
              <a:lnTo>
                <a:pt x="0" y="3105150"/>
              </a:lnTo>
              <a:cubicBezTo>
                <a:pt x="476250" y="2397131"/>
                <a:pt x="628650" y="1641487"/>
                <a:pt x="628650" y="895368"/>
              </a:cubicBezTo>
              <a:close/>
            </a:path>
          </a:pathLst>
        </a:cu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a:p>
          <a:pPr algn="l"/>
          <a:r>
            <a:rPr lang="en-US" sz="1100"/>
            <a:t>		</a:t>
          </a:r>
        </a:p>
      </xdr:txBody>
    </xdr:sp>
    <xdr:clientData/>
  </xdr:twoCellAnchor>
  <xdr:twoCellAnchor>
    <xdr:from>
      <xdr:col>10</xdr:col>
      <xdr:colOff>171450</xdr:colOff>
      <xdr:row>9</xdr:row>
      <xdr:rowOff>66675</xdr:rowOff>
    </xdr:from>
    <xdr:to>
      <xdr:col>26</xdr:col>
      <xdr:colOff>428625</xdr:colOff>
      <xdr:row>21</xdr:row>
      <xdr:rowOff>19050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6267450" y="1781175"/>
          <a:ext cx="10010775" cy="2238375"/>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rtl="0"/>
          <a:r>
            <a:rPr lang="en-US" sz="2400" b="1">
              <a:solidFill>
                <a:schemeClr val="bg1"/>
              </a:solidFill>
              <a:effectLst/>
              <a:latin typeface="+mn-lt"/>
              <a:ea typeface="+mn-ea"/>
              <a:cs typeface="+mn-cs"/>
            </a:rPr>
            <a:t>•</a:t>
          </a:r>
          <a:r>
            <a:rPr lang="en-US" sz="2400" b="1" baseline="0">
              <a:solidFill>
                <a:schemeClr val="bg1"/>
              </a:solidFill>
              <a:effectLst/>
              <a:latin typeface="+mn-lt"/>
              <a:ea typeface="+mn-ea"/>
              <a:cs typeface="+mn-cs"/>
            </a:rPr>
            <a:t> </a:t>
          </a:r>
          <a:r>
            <a:rPr lang="en-US" sz="2400" b="1">
              <a:solidFill>
                <a:schemeClr val="bg1"/>
              </a:solidFill>
              <a:effectLst/>
              <a:latin typeface="+mn-lt"/>
              <a:ea typeface="+mn-ea"/>
              <a:cs typeface="+mn-cs"/>
            </a:rPr>
            <a:t>Select your Places on left Listbox </a:t>
          </a:r>
        </a:p>
        <a:p>
          <a:pPr lvl="0" rtl="0"/>
          <a:r>
            <a:rPr lang="en-US" sz="2400" b="1">
              <a:solidFill>
                <a:schemeClr val="bg1"/>
              </a:solidFill>
              <a:effectLst/>
              <a:latin typeface="+mn-lt"/>
              <a:ea typeface="+mn-ea"/>
              <a:cs typeface="+mn-cs"/>
            </a:rPr>
            <a:t>•</a:t>
          </a:r>
          <a:r>
            <a:rPr lang="en-US" sz="2400" b="1" baseline="0">
              <a:solidFill>
                <a:schemeClr val="bg1"/>
              </a:solidFill>
              <a:effectLst/>
              <a:latin typeface="+mn-lt"/>
              <a:ea typeface="+mn-ea"/>
              <a:cs typeface="+mn-cs"/>
            </a:rPr>
            <a:t> </a:t>
          </a:r>
          <a:r>
            <a:rPr lang="en-US" sz="2400" b="1">
              <a:solidFill>
                <a:schemeClr val="bg1"/>
              </a:solidFill>
              <a:effectLst/>
              <a:latin typeface="+mn-lt"/>
              <a:ea typeface="+mn-ea"/>
              <a:cs typeface="+mn-cs"/>
            </a:rPr>
            <a:t>Clock Select Button</a:t>
          </a:r>
        </a:p>
        <a:p>
          <a:pPr lvl="0" rtl="0"/>
          <a:r>
            <a:rPr lang="en-US" sz="2400" b="1">
              <a:solidFill>
                <a:schemeClr val="bg1"/>
              </a:solidFill>
              <a:effectLst/>
              <a:latin typeface="+mn-lt"/>
              <a:ea typeface="+mn-ea"/>
              <a:cs typeface="+mn-cs"/>
            </a:rPr>
            <a:t>•</a:t>
          </a:r>
          <a:r>
            <a:rPr lang="en-US" sz="2400" b="1" baseline="0">
              <a:solidFill>
                <a:schemeClr val="bg1"/>
              </a:solidFill>
              <a:effectLst/>
              <a:latin typeface="+mn-lt"/>
              <a:ea typeface="+mn-ea"/>
              <a:cs typeface="+mn-cs"/>
            </a:rPr>
            <a:t> </a:t>
          </a:r>
          <a:r>
            <a:rPr lang="en-US" sz="2400" b="1">
              <a:solidFill>
                <a:schemeClr val="bg1"/>
              </a:solidFill>
              <a:effectLst/>
              <a:latin typeface="+mn-lt"/>
              <a:ea typeface="+mn-ea"/>
              <a:cs typeface="+mn-cs"/>
            </a:rPr>
            <a:t>Edit Sequence by selecting the left Listbox items and use Spin Button</a:t>
          </a:r>
        </a:p>
        <a:p>
          <a:pPr lvl="0" rtl="0"/>
          <a:r>
            <a:rPr lang="en-US" sz="2400" b="1">
              <a:solidFill>
                <a:schemeClr val="bg1"/>
              </a:solidFill>
              <a:effectLst/>
              <a:latin typeface="+mn-lt"/>
              <a:ea typeface="+mn-ea"/>
              <a:cs typeface="+mn-cs"/>
            </a:rPr>
            <a:t>•</a:t>
          </a:r>
          <a:r>
            <a:rPr lang="en-US" sz="2400" b="1" baseline="0">
              <a:solidFill>
                <a:schemeClr val="bg1"/>
              </a:solidFill>
              <a:effectLst/>
              <a:latin typeface="+mn-lt"/>
              <a:ea typeface="+mn-ea"/>
              <a:cs typeface="+mn-cs"/>
            </a:rPr>
            <a:t> </a:t>
          </a:r>
          <a:r>
            <a:rPr lang="en-US" sz="2400" b="1">
              <a:solidFill>
                <a:schemeClr val="bg1"/>
              </a:solidFill>
              <a:effectLst/>
              <a:latin typeface="+mn-lt"/>
              <a:ea typeface="+mn-ea"/>
              <a:cs typeface="+mn-cs"/>
            </a:rPr>
            <a:t>Make Sheets that you need</a:t>
          </a:r>
        </a:p>
        <a:p>
          <a:pPr lvl="0" rtl="0"/>
          <a:r>
            <a:rPr lang="en-US" sz="2400" b="1">
              <a:solidFill>
                <a:schemeClr val="bg1"/>
              </a:solidFill>
              <a:effectLst/>
              <a:latin typeface="+mn-lt"/>
              <a:ea typeface="+mn-ea"/>
              <a:cs typeface="+mn-cs"/>
            </a:rPr>
            <a:t>•</a:t>
          </a:r>
          <a:r>
            <a:rPr lang="en-US" sz="2400" b="1" baseline="0">
              <a:solidFill>
                <a:schemeClr val="bg1"/>
              </a:solidFill>
              <a:effectLst/>
              <a:latin typeface="+mn-lt"/>
              <a:ea typeface="+mn-ea"/>
              <a:cs typeface="+mn-cs"/>
            </a:rPr>
            <a:t> </a:t>
          </a:r>
          <a:r>
            <a:rPr lang="en-US" sz="2400" b="1">
              <a:solidFill>
                <a:schemeClr val="bg1"/>
              </a:solidFill>
              <a:effectLst/>
              <a:latin typeface="+mn-lt"/>
              <a:ea typeface="+mn-ea"/>
              <a:cs typeface="+mn-cs"/>
            </a:rPr>
            <a:t>You can make a order by putting your order on specified column</a:t>
          </a:r>
        </a:p>
        <a:p>
          <a:endParaRPr lang="en-US" sz="1100">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1057275</xdr:colOff>
      <xdr:row>13</xdr:row>
      <xdr:rowOff>142875</xdr:rowOff>
    </xdr:from>
    <xdr:to>
      <xdr:col>9</xdr:col>
      <xdr:colOff>447675</xdr:colOff>
      <xdr:row>21</xdr:row>
      <xdr:rowOff>171450</xdr:rowOff>
    </xdr:to>
    <mc:AlternateContent xmlns:mc="http://schemas.openxmlformats.org/markup-compatibility/2006" xmlns:a14="http://schemas.microsoft.com/office/drawing/2010/main">
      <mc:Choice Requires="a14">
        <xdr:graphicFrame macro="">
          <xdr:nvGraphicFramePr>
            <xdr:cNvPr id="5" name="Brand">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7677150" y="2619375"/>
              <a:ext cx="1828800" cy="1552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704850</xdr:colOff>
      <xdr:row>13</xdr:row>
      <xdr:rowOff>171451</xdr:rowOff>
    </xdr:from>
    <xdr:to>
      <xdr:col>7</xdr:col>
      <xdr:colOff>914400</xdr:colOff>
      <xdr:row>21</xdr:row>
      <xdr:rowOff>171451</xdr:rowOff>
    </xdr:to>
    <mc:AlternateContent xmlns:mc="http://schemas.openxmlformats.org/markup-compatibility/2006" xmlns:a14="http://schemas.microsoft.com/office/drawing/2010/main">
      <mc:Choice Requires="a14">
        <xdr:graphicFrame macro="">
          <xdr:nvGraphicFramePr>
            <xdr:cNvPr id="6" name="Company">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Company"/>
            </a:graphicData>
          </a:graphic>
        </xdr:graphicFrame>
      </mc:Choice>
      <mc:Fallback xmlns="">
        <xdr:sp macro="" textlink="">
          <xdr:nvSpPr>
            <xdr:cNvPr id="0" name=""/>
            <xdr:cNvSpPr>
              <a:spLocks noTextEdit="1"/>
            </xdr:cNvSpPr>
          </xdr:nvSpPr>
          <xdr:spPr>
            <a:xfrm>
              <a:off x="5705475" y="2647951"/>
              <a:ext cx="1828800"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561975</xdr:colOff>
      <xdr:row>13</xdr:row>
      <xdr:rowOff>109537</xdr:rowOff>
    </xdr:from>
    <xdr:to>
      <xdr:col>15</xdr:col>
      <xdr:colOff>28575</xdr:colOff>
      <xdr:row>27</xdr:row>
      <xdr:rowOff>185737</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soud" refreshedDate="44088.014417708335" backgroundQuery="1" createdVersion="6" refreshedVersion="6" minRefreshableVersion="3" recordCount="0" supportSubquery="1" supportAdvancedDrill="1" xr:uid="{D3194FE7-7411-4E56-BFAA-B737A5E36BD7}">
  <cacheSource type="external" connectionId="3"/>
  <cacheFields count="4">
    <cacheField name="[TBLprd].[Code].[Code]" caption="Code" numFmtId="0" hierarchy="4" level="1">
      <sharedItems count="209">
        <s v="A1111"/>
        <s v="A1112"/>
        <s v="A1113"/>
        <s v="A1114"/>
        <s v="A1115"/>
        <s v="A1116"/>
        <s v="A1117"/>
        <s v="A1118"/>
        <s v="A1119"/>
        <s v="A1120"/>
        <s v="A1121"/>
        <s v="A1122"/>
        <s v="A1123"/>
        <s v="A1124"/>
        <s v="A1125"/>
        <s v="A1126"/>
        <s v="A1127"/>
        <s v="A1128"/>
        <s v="A1129"/>
        <s v="A1130"/>
        <s v="A1131"/>
        <s v="A1132"/>
        <s v="A1133"/>
        <s v="A1134"/>
        <s v="A1135"/>
        <s v="A1136"/>
        <s v="A1137"/>
        <s v="A1138"/>
        <s v="A1139"/>
        <s v="A1140"/>
        <s v="A1141"/>
        <s v="A1142"/>
        <s v="A1143"/>
        <s v="A1144"/>
        <s v="A1145"/>
        <s v="A1146"/>
        <s v="A1147"/>
        <s v="A1148"/>
        <s v="A1149"/>
        <s v="A1150"/>
        <s v="A1151"/>
        <s v="A1152"/>
        <s v="A1153"/>
        <s v="A1154"/>
        <s v="A1155"/>
        <s v="A1156"/>
        <s v="A1157"/>
        <s v="A1158"/>
        <s v="A1159"/>
        <s v="A1160"/>
        <s v="A1161"/>
        <s v="A1162"/>
        <s v="A1163"/>
        <s v="A1164"/>
        <s v="A1165"/>
        <s v="A1166"/>
        <s v="A1167"/>
        <s v="A1168"/>
        <s v="A1169"/>
        <s v="A1170"/>
        <s v="A1171"/>
        <s v="A1172"/>
        <s v="A1173"/>
        <s v="A1174"/>
        <s v="A1175"/>
        <s v="A1176"/>
        <s v="A1177"/>
        <s v="A1178"/>
        <s v="A1179"/>
        <s v="A1180"/>
        <s v="A1181"/>
        <s v="A1182"/>
        <s v="A1183"/>
        <s v="A1184"/>
        <s v="A1185"/>
        <s v="A1186"/>
        <s v="A1187"/>
        <s v="A1188"/>
        <s v="A1189"/>
        <s v="A1190"/>
        <s v="A1191"/>
        <s v="A1192"/>
        <s v="A1193"/>
        <s v="A1194"/>
        <s v="A1195"/>
        <s v="A1196"/>
        <s v="A1197"/>
        <s v="A1198"/>
        <s v="A1199"/>
        <s v="A1200"/>
        <s v="A1201"/>
        <s v="A1202"/>
        <s v="A1203"/>
        <s v="A1204"/>
        <s v="A1205"/>
        <s v="A1206"/>
        <s v="A1207"/>
        <s v="A1208"/>
        <s v="A1209"/>
        <s v="A1210"/>
        <s v="A1211"/>
        <s v="A1212"/>
        <s v="A1213"/>
        <s v="A1214"/>
        <s v="A1215"/>
        <s v="A1216"/>
        <s v="A1217"/>
        <s v="A1218"/>
        <s v="A1219"/>
        <s v="A1220"/>
        <s v="A1221"/>
        <s v="A1222"/>
        <s v="A1223"/>
        <s v="A1224"/>
        <s v="A1225"/>
        <s v="A1226"/>
        <s v="A1227"/>
        <s v="A1228"/>
        <s v="A1229"/>
        <s v="A1230"/>
        <s v="A1231"/>
        <s v="A1232"/>
        <s v="A1233"/>
        <s v="A1234"/>
        <s v="A1235"/>
        <s v="A1236"/>
        <s v="A1237"/>
        <s v="A1238"/>
        <s v="A1239"/>
        <s v="A1240"/>
        <s v="A1241"/>
        <s v="A1242"/>
        <s v="A1243"/>
        <s v="A1244"/>
        <s v="A1245"/>
        <s v="A1246"/>
        <s v="A1247"/>
        <s v="A1248"/>
        <s v="A1249"/>
        <s v="A1250"/>
        <s v="A1251"/>
        <s v="A1252"/>
        <s v="A1253"/>
        <s v="A1254"/>
        <s v="A1255"/>
        <s v="A1256"/>
        <s v="A1257"/>
        <s v="A1258"/>
        <s v="A1259"/>
        <s v="A1260"/>
        <s v="A1261"/>
        <s v="A1262"/>
        <s v="A1263"/>
        <s v="A1264"/>
        <s v="A1265"/>
        <s v="A1266"/>
        <s v="A1267"/>
        <s v="A1268"/>
        <s v="A1269"/>
        <s v="A1270"/>
        <s v="A1271"/>
        <s v="A1272"/>
        <s v="A1273"/>
        <s v="A1274"/>
        <s v="A1275"/>
        <s v="A1276"/>
        <s v="A1277"/>
        <s v="A1278"/>
        <s v="A1279"/>
        <s v="A1280"/>
        <s v="A1281"/>
        <s v="A1282"/>
        <s v="A1283"/>
        <s v="A1284"/>
        <s v="A1285"/>
        <s v="A1286"/>
        <s v="A1287"/>
        <s v="A1288"/>
        <s v="A1289"/>
        <s v="A1290"/>
        <s v="A1291"/>
        <s v="A1292"/>
        <s v="A1293"/>
        <s v="A1294"/>
        <s v="A1295"/>
        <s v="A1296"/>
        <s v="A1297"/>
        <s v="A1298"/>
        <s v="A1299"/>
        <s v="A1300"/>
        <s v="A1301"/>
        <s v="A1302"/>
        <s v="A1303"/>
        <s v="A1304"/>
        <s v="A1305"/>
        <s v="A1306"/>
        <s v="A1307"/>
        <s v="A1308"/>
        <s v="A1309"/>
        <s v="A1310"/>
        <s v="A1311"/>
        <s v="A1312"/>
        <s v="A1313"/>
        <s v="A1314"/>
        <s v="A1315"/>
        <s v="A1316"/>
        <s v="A1317"/>
        <s v="A1318"/>
        <s v="A1319"/>
      </sharedItems>
    </cacheField>
    <cacheField name="[TBLprd].[Name].[Name]" caption="Name" numFmtId="0" hierarchy="5" level="1">
      <sharedItems count="209">
        <s v="Prod 1"/>
        <s v="Prod 2"/>
        <s v="Prod 3"/>
        <s v="Prod 4"/>
        <s v="Prod 5"/>
        <s v="Prod 6"/>
        <s v="Prod 7"/>
        <s v="Prod 8"/>
        <s v="Prod 9"/>
        <s v="Prod 10"/>
        <s v="Prod 11"/>
        <s v="Prod 12"/>
        <s v="Prod 13"/>
        <s v="Prod 14"/>
        <s v="Prod 15"/>
        <s v="Prod 16"/>
        <s v="Prod 17"/>
        <s v="Prod 18"/>
        <s v="Prod 19"/>
        <s v="Prod 20"/>
        <s v="Prod 21"/>
        <s v="Prod 22"/>
        <s v="Prod 23"/>
        <s v="Prod 24"/>
        <s v="Prod 25"/>
        <s v="Prod 26"/>
        <s v="Prod 27"/>
        <s v="Prod 28"/>
        <s v="Prod 29"/>
        <s v="Prod 30"/>
        <s v="Prod 31"/>
        <s v="Prod 32"/>
        <s v="Prod 33"/>
        <s v="Prod 34"/>
        <s v="Prod 35"/>
        <s v="Prod 36"/>
        <s v="Prod 37"/>
        <s v="Prod 38"/>
        <s v="Prod 39"/>
        <s v="Prod 40"/>
        <s v="Prod 41"/>
        <s v="Prod 42"/>
        <s v="Prod 43"/>
        <s v="Prod 44"/>
        <s v="Prod 45"/>
        <s v="Prod 46"/>
        <s v="Prod 47"/>
        <s v="Prod 48"/>
        <s v="Prod 49"/>
        <s v="Prod 50"/>
        <s v="Prod 51"/>
        <s v="Prod 52"/>
        <s v="Prod 53"/>
        <s v="Prod 54"/>
        <s v="Prod 55"/>
        <s v="Prod 56"/>
        <s v="Prod 57"/>
        <s v="Prod 58"/>
        <s v="Prod 59"/>
        <s v="Prod 60"/>
        <s v="Prod 61"/>
        <s v="Prod 62"/>
        <s v="Prod 63"/>
        <s v="Prod 64"/>
        <s v="Prod 65"/>
        <s v="Prod 66"/>
        <s v="Prod 67"/>
        <s v="Prod 68"/>
        <s v="Prod 69"/>
        <s v="Prod 70"/>
        <s v="Prod 71"/>
        <s v="Prod 72"/>
        <s v="Prod 73"/>
        <s v="Prod 74"/>
        <s v="Prod 75"/>
        <s v="Prod 76"/>
        <s v="Prod 77"/>
        <s v="Prod 78"/>
        <s v="Prod 79"/>
        <s v="Prod 80"/>
        <s v="Prod 81"/>
        <s v="Prod 82"/>
        <s v="Prod 83"/>
        <s v="Prod 84"/>
        <s v="Prod 85"/>
        <s v="Prod 86"/>
        <s v="Prod 87"/>
        <s v="Prod 88"/>
        <s v="Prod 89"/>
        <s v="Prod 90"/>
        <s v="Prod 91"/>
        <s v="Prod 92"/>
        <s v="Prod 93"/>
        <s v="Prod 94"/>
        <s v="Prod 95"/>
        <s v="Prod 96"/>
        <s v="Prod 97"/>
        <s v="Prod 98"/>
        <s v="Prod 99"/>
        <s v="Prod 100"/>
        <s v="Prod 101"/>
        <s v="Prod 102"/>
        <s v="Prod 103"/>
        <s v="Prod 104"/>
        <s v="Prod 105"/>
        <s v="Prod 106"/>
        <s v="Prod 107"/>
        <s v="Prod 108"/>
        <s v="Prod 109"/>
        <s v="Prod 110"/>
        <s v="Prod 111"/>
        <s v="Prod 112"/>
        <s v="Prod 113"/>
        <s v="Prod 114"/>
        <s v="Prod 115"/>
        <s v="Prod 116"/>
        <s v="Prod 117"/>
        <s v="Prod 118"/>
        <s v="Prod 119"/>
        <s v="Prod 120"/>
        <s v="Prod 121"/>
        <s v="Prod 122"/>
        <s v="Prod 123"/>
        <s v="Prod 124"/>
        <s v="Prod 125"/>
        <s v="Prod 126"/>
        <s v="Prod 127"/>
        <s v="Prod 128"/>
        <s v="Prod 129"/>
        <s v="Prod 130"/>
        <s v="Prod 131"/>
        <s v="Prod 132"/>
        <s v="Prod 133"/>
        <s v="Prod 134"/>
        <s v="Prod 135"/>
        <s v="Prod 136"/>
        <s v="Prod 137"/>
        <s v="Prod 138"/>
        <s v="Prod 139"/>
        <s v="Prod 140"/>
        <s v="Prod 141"/>
        <s v="Prod 142"/>
        <s v="Prod 143"/>
        <s v="Prod 144"/>
        <s v="Prod 145"/>
        <s v="Prod 146"/>
        <s v="Prod 147"/>
        <s v="Prod 148"/>
        <s v="Prod 149"/>
        <s v="Prod 150"/>
        <s v="Prod 151"/>
        <s v="Prod 152"/>
        <s v="Prod 153"/>
        <s v="Prod 154"/>
        <s v="Prod 155"/>
        <s v="Prod 156"/>
        <s v="Prod 157"/>
        <s v="Prod 158"/>
        <s v="Prod 159"/>
        <s v="Prod 160"/>
        <s v="Prod 161"/>
        <s v="Prod 162"/>
        <s v="Prod 163"/>
        <s v="Prod 164"/>
        <s v="Prod 165"/>
        <s v="Prod 166"/>
        <s v="Prod 167"/>
        <s v="Prod 168"/>
        <s v="Prod 169"/>
        <s v="Prod 170"/>
        <s v="Prod 171"/>
        <s v="Prod 172"/>
        <s v="Prod 173"/>
        <s v="Prod 174"/>
        <s v="Prod 175"/>
        <s v="Prod 176"/>
        <s v="Prod 177"/>
        <s v="Prod 178"/>
        <s v="Prod 179"/>
        <s v="Prod 180"/>
        <s v="Prod 181"/>
        <s v="Prod 182"/>
        <s v="Prod 183"/>
        <s v="Prod 184"/>
        <s v="Prod 185"/>
        <s v="Prod 186"/>
        <s v="Prod 187"/>
        <s v="Prod 188"/>
        <s v="Prod 189"/>
        <s v="Prod 190"/>
        <s v="Prod 191"/>
        <s v="Prod 192"/>
        <s v="Prod 193"/>
        <s v="Prod 194"/>
        <s v="Prod 195"/>
        <s v="Prod 196"/>
        <s v="Prod 197"/>
        <s v="Prod 198"/>
        <s v="Prod 199"/>
        <s v="Prod 200"/>
        <s v="Prod 201"/>
        <s v="Prod 202"/>
        <s v="Prod 203"/>
        <s v="Prod 204"/>
        <s v="Prod 205"/>
        <s v="Prod 206"/>
        <s v="Prod 207"/>
        <s v="Prod 208"/>
        <s v="Prod 209"/>
      </sharedItems>
    </cacheField>
    <cacheField name="[Measures].[BOX]" caption="BOX" numFmtId="0" hierarchy="10" level="32767"/>
    <cacheField name="[Measures].[Sum of Inventory]" caption="Sum of Inventory" numFmtId="0" hierarchy="18" level="32767"/>
  </cacheFields>
  <cacheHierarchies count="19">
    <cacheHierarchy uniqueName="[TBLinvtry 1].[Code]" caption="Code" attribute="1" defaultMemberUniqueName="[TBLinvtry 1].[Code].[All]" allUniqueName="[TBLinvtry 1].[Code].[All]" dimensionUniqueName="[TBLinvtry 1]" displayFolder="" count="0" memberValueDatatype="130" unbalanced="0"/>
    <cacheHierarchy uniqueName="[TBLinvtry 1].[Name]" caption="Name" attribute="1" defaultMemberUniqueName="[TBLinvtry 1].[Name].[All]" allUniqueName="[TBLinvtry 1].[Name].[All]" dimensionUniqueName="[TBLinvtry 1]" displayFolder="" count="0" memberValueDatatype="130" unbalanced="0"/>
    <cacheHierarchy uniqueName="[TBLinvtry 1].[Inventory]" caption="Inventory" attribute="1" defaultMemberUniqueName="[TBLinvtry 1].[Inventory].[All]" allUniqueName="[TBLinvtry 1].[Inventory].[All]" dimensionUniqueName="[TBLinvtry 1]" displayFolder="" count="0" memberValueDatatype="20" unbalanced="0"/>
    <cacheHierarchy uniqueName="[TBLPLace].[States]" caption="States" attribute="1" defaultMemberUniqueName="[TBLPLace].[States].[All]" allUniqueName="[TBLPLace].[States].[All]" dimensionUniqueName="[TBLPLace]" displayFolder="" count="0" memberValueDatatype="130" unbalanced="0"/>
    <cacheHierarchy uniqueName="[TBLprd].[Code]" caption="Code" attribute="1" defaultMemberUniqueName="[TBLprd].[Code].[All]" allUniqueName="[TBLprd].[Code].[All]" dimensionUniqueName="[TBLprd]" displayFolder="" count="2" memberValueDatatype="130" unbalanced="0">
      <fieldsUsage count="2">
        <fieldUsage x="-1"/>
        <fieldUsage x="0"/>
      </fieldsUsage>
    </cacheHierarchy>
    <cacheHierarchy uniqueName="[TBLprd].[Name]" caption="Name" attribute="1" defaultMemberUniqueName="[TBLprd].[Name].[All]" allUniqueName="[TBLprd].[Name].[All]" dimensionUniqueName="[TBLprd]" displayFolder="" count="2" memberValueDatatype="130" unbalanced="0">
      <fieldsUsage count="2">
        <fieldUsage x="-1"/>
        <fieldUsage x="1"/>
      </fieldsUsage>
    </cacheHierarchy>
    <cacheHierarchy uniqueName="[TBLprd].[Count in Box]" caption="Count in Box" attribute="1" defaultMemberUniqueName="[TBLprd].[Count in Box].[All]" allUniqueName="[TBLprd].[Count in Box].[All]" dimensionUniqueName="[TBLprd]" displayFolder="" count="0" memberValueDatatype="20" unbalanced="0"/>
    <cacheHierarchy uniqueName="[TBLprd].[Brand]" caption="Brand" attribute="1" defaultMemberUniqueName="[TBLprd].[Brand].[All]" allUniqueName="[TBLprd].[Brand].[All]" dimensionUniqueName="[TBLprd]" displayFolder="" count="0" memberValueDatatype="130" unbalanced="0"/>
    <cacheHierarchy uniqueName="[TBLprd].[Company]" caption="Company" attribute="1" defaultMemberUniqueName="[TBLprd].[Company].[All]" allUniqueName="[TBLprd].[Company].[All]" dimensionUniqueName="[TBLprd]" displayFolder="" count="0" memberValueDatatype="130" unbalanced="0"/>
    <cacheHierarchy uniqueName="[TBLprd].[Price]" caption="Price" attribute="1" defaultMemberUniqueName="[TBLprd].[Price].[All]" allUniqueName="[TBLprd].[Price].[All]" dimensionUniqueName="[TBLprd]" displayFolder="" count="0" memberValueDatatype="20" unbalanced="0"/>
    <cacheHierarchy uniqueName="[Measures].[BOX]" caption="BOX" measure="1" displayFolder="" measureGroup="TBLinvtry 1" count="0" oneField="1">
      <fieldsUsage count="1">
        <fieldUsage x="2"/>
      </fieldsUsage>
    </cacheHierarchy>
    <cacheHierarchy uniqueName="[Measures].[inventory valuation]" caption="inventory valuation" measure="1" displayFolder="" measureGroup="TBLinvtry 1" count="0"/>
    <cacheHierarchy uniqueName="[Measures].[__XL_Count TBLPLace]" caption="__XL_Count TBLPLace" measure="1" displayFolder="" measureGroup="TBLPLace" count="0" hidden="1"/>
    <cacheHierarchy uniqueName="[Measures].[__XL_Count TBLprd]" caption="__XL_Count TBLprd" measure="1" displayFolder="" measureGroup="TBLprd" count="0" hidden="1"/>
    <cacheHierarchy uniqueName="[Measures].[__XL_Count TBLinvtry 1]" caption="__XL_Count TBLinvtry 1" measure="1" displayFolder="" measureGroup="TBLinvtry 1" count="0" hidden="1"/>
    <cacheHierarchy uniqueName="[Measures].[__No measures defined]" caption="__No measures defined" measure="1" displayFolder="" count="0" hidden="1"/>
    <cacheHierarchy uniqueName="[Measures].[Sum of Count in Box]" caption="Sum of Count in Box" measure="1" displayFolder="" measureGroup="TBLprd" count="0" hidden="1">
      <extLst>
        <ext xmlns:x15="http://schemas.microsoft.com/office/spreadsheetml/2010/11/main" uri="{B97F6D7D-B522-45F9-BDA1-12C45D357490}">
          <x15:cacheHierarchy aggregatedColumn="6"/>
        </ext>
      </extLst>
    </cacheHierarchy>
    <cacheHierarchy uniqueName="[Measures].[Count of Company]" caption="Count of Company" measure="1" displayFolder="" measureGroup="TBLprd" count="0" hidden="1">
      <extLst>
        <ext xmlns:x15="http://schemas.microsoft.com/office/spreadsheetml/2010/11/main" uri="{B97F6D7D-B522-45F9-BDA1-12C45D357490}">
          <x15:cacheHierarchy aggregatedColumn="8"/>
        </ext>
      </extLst>
    </cacheHierarchy>
    <cacheHierarchy uniqueName="[Measures].[Sum of Inventory]" caption="Sum of Inventory" measure="1" displayFolder="" measureGroup="TBLinvtry 1" count="0" oneField="1" hidden="1">
      <fieldsUsage count="1">
        <fieldUsage x="3"/>
      </fieldsUsage>
      <extLst>
        <ext xmlns:x15="http://schemas.microsoft.com/office/spreadsheetml/2010/11/main" uri="{B97F6D7D-B522-45F9-BDA1-12C45D357490}">
          <x15:cacheHierarchy aggregatedColumn="2"/>
        </ext>
      </extLst>
    </cacheHierarchy>
  </cacheHierarchies>
  <kpis count="0"/>
  <dimensions count="4">
    <dimension measure="1" name="Measures" uniqueName="[Measures]" caption="Measures"/>
    <dimension name="TBLinvtry 1" uniqueName="[TBLinvtry 1]" caption="TBLinvtry 1"/>
    <dimension name="TBLPLace" uniqueName="[TBLPLace]" caption="TBLPLace"/>
    <dimension name="TBLprd" uniqueName="[TBLprd]" caption="TBLprd"/>
  </dimensions>
  <measureGroups count="3">
    <measureGroup name="TBLinvtry 1" caption="TBLinvtry 1"/>
    <measureGroup name="TBLPLace" caption="TBLPLace"/>
    <measureGroup name="TBLprd" caption="TBLprd"/>
  </measureGroups>
  <maps count="4">
    <map measureGroup="0" dimension="1"/>
    <map measureGroup="0" dimension="3"/>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soud" refreshedDate="44088.015878356484" backgroundQuery="1" createdVersion="6" refreshedVersion="6" minRefreshableVersion="3" recordCount="0" supportSubquery="1" supportAdvancedDrill="1" xr:uid="{DB85A373-CD3A-42F4-A615-0260C8B69698}">
  <cacheSource type="external" connectionId="3"/>
  <cacheFields count="3">
    <cacheField name="[TBLprd].[Brand].[Brand]" caption="Brand" numFmtId="0" hierarchy="7" level="1">
      <sharedItems count="4">
        <s v="Barand A"/>
        <s v="Barand B"/>
        <s v="Barand C"/>
        <s v="Barand D"/>
      </sharedItems>
    </cacheField>
    <cacheField name="[Measures].[Sum of Count in Box]" caption="Sum of Count in Box" numFmtId="0" hierarchy="16" level="32767"/>
    <cacheField name="[TBLprd].[Company].[Company]" caption="Company" numFmtId="0" hierarchy="8" level="1">
      <sharedItems containsSemiMixedTypes="0" containsNonDate="0" containsString="0"/>
    </cacheField>
  </cacheFields>
  <cacheHierarchies count="19">
    <cacheHierarchy uniqueName="[TBLinvtry 1].[Code]" caption="Code" attribute="1" defaultMemberUniqueName="[TBLinvtry 1].[Code].[All]" allUniqueName="[TBLinvtry 1].[Code].[All]" dimensionUniqueName="[TBLinvtry 1]" displayFolder="" count="0" memberValueDatatype="130" unbalanced="0"/>
    <cacheHierarchy uniqueName="[TBLinvtry 1].[Name]" caption="Name" attribute="1" defaultMemberUniqueName="[TBLinvtry 1].[Name].[All]" allUniqueName="[TBLinvtry 1].[Name].[All]" dimensionUniqueName="[TBLinvtry 1]" displayFolder="" count="0" memberValueDatatype="130" unbalanced="0"/>
    <cacheHierarchy uniqueName="[TBLinvtry 1].[Inventory]" caption="Inventory" attribute="1" defaultMemberUniqueName="[TBLinvtry 1].[Inventory].[All]" allUniqueName="[TBLinvtry 1].[Inventory].[All]" dimensionUniqueName="[TBLinvtry 1]" displayFolder="" count="0" memberValueDatatype="20" unbalanced="0"/>
    <cacheHierarchy uniqueName="[TBLPLace].[States]" caption="States" attribute="1" defaultMemberUniqueName="[TBLPLace].[States].[All]" allUniqueName="[TBLPLace].[States].[All]" dimensionUniqueName="[TBLPLace]" displayFolder="" count="0" memberValueDatatype="130" unbalanced="0"/>
    <cacheHierarchy uniqueName="[TBLprd].[Code]" caption="Code" attribute="1" defaultMemberUniqueName="[TBLprd].[Code].[All]" allUniqueName="[TBLprd].[Code].[All]" dimensionUniqueName="[TBLprd]" displayFolder="" count="0" memberValueDatatype="130" unbalanced="0"/>
    <cacheHierarchy uniqueName="[TBLprd].[Name]" caption="Name" attribute="1" defaultMemberUniqueName="[TBLprd].[Name].[All]" allUniqueName="[TBLprd].[Name].[All]" dimensionUniqueName="[TBLprd]" displayFolder="" count="0" memberValueDatatype="130" unbalanced="0"/>
    <cacheHierarchy uniqueName="[TBLprd].[Count in Box]" caption="Count in Box" attribute="1" defaultMemberUniqueName="[TBLprd].[Count in Box].[All]" allUniqueName="[TBLprd].[Count in Box].[All]" dimensionUniqueName="[TBLprd]" displayFolder="" count="0" memberValueDatatype="20" unbalanced="0"/>
    <cacheHierarchy uniqueName="[TBLprd].[Brand]" caption="Brand" attribute="1" defaultMemberUniqueName="[TBLprd].[Brand].[All]" allUniqueName="[TBLprd].[Brand].[All]" dimensionUniqueName="[TBLprd]" displayFolder="" count="2" memberValueDatatype="130" unbalanced="0">
      <fieldsUsage count="2">
        <fieldUsage x="-1"/>
        <fieldUsage x="0"/>
      </fieldsUsage>
    </cacheHierarchy>
    <cacheHierarchy uniqueName="[TBLprd].[Company]" caption="Company" attribute="1" defaultMemberUniqueName="[TBLprd].[Company].[All]" allUniqueName="[TBLprd].[Company].[All]" dimensionUniqueName="[TBLprd]" displayFolder="" count="2" memberValueDatatype="130" unbalanced="0">
      <fieldsUsage count="2">
        <fieldUsage x="-1"/>
        <fieldUsage x="2"/>
      </fieldsUsage>
    </cacheHierarchy>
    <cacheHierarchy uniqueName="[TBLprd].[Price]" caption="Price" attribute="1" defaultMemberUniqueName="[TBLprd].[Price].[All]" allUniqueName="[TBLprd].[Price].[All]" dimensionUniqueName="[TBLprd]" displayFolder="" count="0" memberValueDatatype="20" unbalanced="0"/>
    <cacheHierarchy uniqueName="[Measures].[BOX]" caption="BOX" measure="1" displayFolder="" measureGroup="TBLinvtry 1" count="0"/>
    <cacheHierarchy uniqueName="[Measures].[inventory valuation]" caption="inventory valuation" measure="1" displayFolder="" measureGroup="TBLinvtry 1" count="0"/>
    <cacheHierarchy uniqueName="[Measures].[__XL_Count TBLPLace]" caption="__XL_Count TBLPLace" measure="1" displayFolder="" measureGroup="TBLPLace" count="0" hidden="1"/>
    <cacheHierarchy uniqueName="[Measures].[__XL_Count TBLprd]" caption="__XL_Count TBLprd" measure="1" displayFolder="" measureGroup="TBLprd" count="0" hidden="1"/>
    <cacheHierarchy uniqueName="[Measures].[__XL_Count TBLinvtry 1]" caption="__XL_Count TBLinvtry 1" measure="1" displayFolder="" measureGroup="TBLinvtry 1" count="0" hidden="1"/>
    <cacheHierarchy uniqueName="[Measures].[__No measures defined]" caption="__No measures defined" measure="1" displayFolder="" count="0" hidden="1"/>
    <cacheHierarchy uniqueName="[Measures].[Sum of Count in Box]" caption="Sum of Count in Box" measure="1" displayFolder="" measureGroup="TBLprd" count="0" oneField="1" hidden="1">
      <fieldsUsage count="1">
        <fieldUsage x="1"/>
      </fieldsUsage>
      <extLst>
        <ext xmlns:x15="http://schemas.microsoft.com/office/spreadsheetml/2010/11/main" uri="{B97F6D7D-B522-45F9-BDA1-12C45D357490}">
          <x15:cacheHierarchy aggregatedColumn="6"/>
        </ext>
      </extLst>
    </cacheHierarchy>
    <cacheHierarchy uniqueName="[Measures].[Count of Company]" caption="Count of Company" measure="1" displayFolder="" measureGroup="TBLprd" count="0" hidden="1">
      <extLst>
        <ext xmlns:x15="http://schemas.microsoft.com/office/spreadsheetml/2010/11/main" uri="{B97F6D7D-B522-45F9-BDA1-12C45D357490}">
          <x15:cacheHierarchy aggregatedColumn="8"/>
        </ext>
      </extLst>
    </cacheHierarchy>
    <cacheHierarchy uniqueName="[Measures].[Sum of Inventory]" caption="Sum of Inventory" measure="1" displayFolder="" measureGroup="TBLinvtry 1" count="0" hidden="1">
      <extLst>
        <ext xmlns:x15="http://schemas.microsoft.com/office/spreadsheetml/2010/11/main" uri="{B97F6D7D-B522-45F9-BDA1-12C45D357490}">
          <x15:cacheHierarchy aggregatedColumn="2"/>
        </ext>
      </extLst>
    </cacheHierarchy>
  </cacheHierarchies>
  <kpis count="0"/>
  <dimensions count="4">
    <dimension measure="1" name="Measures" uniqueName="[Measures]" caption="Measures"/>
    <dimension name="TBLinvtry 1" uniqueName="[TBLinvtry 1]" caption="TBLinvtry 1"/>
    <dimension name="TBLPLace" uniqueName="[TBLPLace]" caption="TBLPLace"/>
    <dimension name="TBLprd" uniqueName="[TBLprd]" caption="TBLprd"/>
  </dimensions>
  <measureGroups count="3">
    <measureGroup name="TBLinvtry 1" caption="TBLinvtry 1"/>
    <measureGroup name="TBLPLace" caption="TBLPLace"/>
    <measureGroup name="TBLprd" caption="TBLprd"/>
  </measureGroups>
  <maps count="4">
    <map measureGroup="0" dimension="1"/>
    <map measureGroup="0" dimension="3"/>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soud" refreshedDate="44088.015878819446" backgroundQuery="1" createdVersion="6" refreshedVersion="6" minRefreshableVersion="3" recordCount="0" supportSubquery="1" supportAdvancedDrill="1" xr:uid="{C2C6D1D5-A0BC-4451-B303-1C70EA7877A4}">
  <cacheSource type="external" connectionId="3"/>
  <cacheFields count="3">
    <cacheField name="[TBLprd].[Company].[Company]" caption="Company" numFmtId="0" hierarchy="8" level="1">
      <sharedItems count="4">
        <s v="Company A"/>
        <s v="Company B"/>
        <s v="Company C"/>
        <s v="Company D"/>
      </sharedItems>
    </cacheField>
    <cacheField name="[Measures].[inventory valuation]" caption="inventory valuation" numFmtId="0" hierarchy="11" level="32767"/>
    <cacheField name="[TBLprd].[Brand].[Brand]" caption="Brand" numFmtId="0" hierarchy="7" level="1">
      <sharedItems count="4">
        <s v="Barand A"/>
        <s v="Barand B"/>
        <s v="Barand C"/>
        <s v="Barand D"/>
      </sharedItems>
    </cacheField>
  </cacheFields>
  <cacheHierarchies count="19">
    <cacheHierarchy uniqueName="[TBLinvtry 1].[Code]" caption="Code" attribute="1" defaultMemberUniqueName="[TBLinvtry 1].[Code].[All]" allUniqueName="[TBLinvtry 1].[Code].[All]" dimensionUniqueName="[TBLinvtry 1]" displayFolder="" count="0" memberValueDatatype="130" unbalanced="0"/>
    <cacheHierarchy uniqueName="[TBLinvtry 1].[Name]" caption="Name" attribute="1" defaultMemberUniqueName="[TBLinvtry 1].[Name].[All]" allUniqueName="[TBLinvtry 1].[Name].[All]" dimensionUniqueName="[TBLinvtry 1]" displayFolder="" count="0" memberValueDatatype="130" unbalanced="0"/>
    <cacheHierarchy uniqueName="[TBLinvtry 1].[Inventory]" caption="Inventory" attribute="1" defaultMemberUniqueName="[TBLinvtry 1].[Inventory].[All]" allUniqueName="[TBLinvtry 1].[Inventory].[All]" dimensionUniqueName="[TBLinvtry 1]" displayFolder="" count="0" memberValueDatatype="20" unbalanced="0"/>
    <cacheHierarchy uniqueName="[TBLPLace].[States]" caption="States" attribute="1" defaultMemberUniqueName="[TBLPLace].[States].[All]" allUniqueName="[TBLPLace].[States].[All]" dimensionUniqueName="[TBLPLace]" displayFolder="" count="0" memberValueDatatype="130" unbalanced="0"/>
    <cacheHierarchy uniqueName="[TBLprd].[Code]" caption="Code" attribute="1" defaultMemberUniqueName="[TBLprd].[Code].[All]" allUniqueName="[TBLprd].[Code].[All]" dimensionUniqueName="[TBLprd]" displayFolder="" count="2" memberValueDatatype="130" unbalanced="0"/>
    <cacheHierarchy uniqueName="[TBLprd].[Name]" caption="Name" attribute="1" defaultMemberUniqueName="[TBLprd].[Name].[All]" allUniqueName="[TBLprd].[Name].[All]" dimensionUniqueName="[TBLprd]" displayFolder="" count="2" memberValueDatatype="130" unbalanced="0"/>
    <cacheHierarchy uniqueName="[TBLprd].[Count in Box]" caption="Count in Box" attribute="1" defaultMemberUniqueName="[TBLprd].[Count in Box].[All]" allUniqueName="[TBLprd].[Count in Box].[All]" dimensionUniqueName="[TBLprd]" displayFolder="" count="0" memberValueDatatype="20" unbalanced="0"/>
    <cacheHierarchy uniqueName="[TBLprd].[Brand]" caption="Brand" attribute="1" defaultMemberUniqueName="[TBLprd].[Brand].[All]" allUniqueName="[TBLprd].[Brand].[All]" dimensionUniqueName="[TBLprd]" displayFolder="" count="2" memberValueDatatype="130" unbalanced="0">
      <fieldsUsage count="2">
        <fieldUsage x="-1"/>
        <fieldUsage x="2"/>
      </fieldsUsage>
    </cacheHierarchy>
    <cacheHierarchy uniqueName="[TBLprd].[Company]" caption="Company" attribute="1" defaultMemberUniqueName="[TBLprd].[Company].[All]" allUniqueName="[TBLprd].[Company].[All]" dimensionUniqueName="[TBLprd]" displayFolder="" count="2" memberValueDatatype="130" unbalanced="0">
      <fieldsUsage count="2">
        <fieldUsage x="-1"/>
        <fieldUsage x="0"/>
      </fieldsUsage>
    </cacheHierarchy>
    <cacheHierarchy uniqueName="[TBLprd].[Price]" caption="Price" attribute="1" defaultMemberUniqueName="[TBLprd].[Price].[All]" allUniqueName="[TBLprd].[Price].[All]" dimensionUniqueName="[TBLprd]" displayFolder="" count="0" memberValueDatatype="20" unbalanced="0"/>
    <cacheHierarchy uniqueName="[Measures].[BOX]" caption="BOX" measure="1" displayFolder="" measureGroup="TBLinvtry 1" count="0"/>
    <cacheHierarchy uniqueName="[Measures].[inventory valuation]" caption="inventory valuation" measure="1" displayFolder="" measureGroup="TBLinvtry 1" count="0" oneField="1">
      <fieldsUsage count="1">
        <fieldUsage x="1"/>
      </fieldsUsage>
    </cacheHierarchy>
    <cacheHierarchy uniqueName="[Measures].[__XL_Count TBLPLace]" caption="__XL_Count TBLPLace" measure="1" displayFolder="" measureGroup="TBLPLace" count="0" hidden="1"/>
    <cacheHierarchy uniqueName="[Measures].[__XL_Count TBLprd]" caption="__XL_Count TBLprd" measure="1" displayFolder="" measureGroup="TBLprd" count="0" hidden="1"/>
    <cacheHierarchy uniqueName="[Measures].[__XL_Count TBLinvtry 1]" caption="__XL_Count TBLinvtry 1" measure="1" displayFolder="" measureGroup="TBLinvtry 1" count="0" hidden="1"/>
    <cacheHierarchy uniqueName="[Measures].[__No measures defined]" caption="__No measures defined" measure="1" displayFolder="" count="0" hidden="1"/>
    <cacheHierarchy uniqueName="[Measures].[Sum of Count in Box]" caption="Sum of Count in Box" measure="1" displayFolder="" measureGroup="TBLprd" count="0" hidden="1">
      <extLst>
        <ext xmlns:x15="http://schemas.microsoft.com/office/spreadsheetml/2010/11/main" uri="{B97F6D7D-B522-45F9-BDA1-12C45D357490}">
          <x15:cacheHierarchy aggregatedColumn="6"/>
        </ext>
      </extLst>
    </cacheHierarchy>
    <cacheHierarchy uniqueName="[Measures].[Count of Company]" caption="Count of Company" measure="1" displayFolder="" measureGroup="TBLprd" count="0" hidden="1">
      <extLst>
        <ext xmlns:x15="http://schemas.microsoft.com/office/spreadsheetml/2010/11/main" uri="{B97F6D7D-B522-45F9-BDA1-12C45D357490}">
          <x15:cacheHierarchy aggregatedColumn="8"/>
        </ext>
      </extLst>
    </cacheHierarchy>
    <cacheHierarchy uniqueName="[Measures].[Sum of Inventory]" caption="Sum of Inventory" measure="1" displayFolder="" measureGroup="TBLinvtry 1" count="0" hidden="1">
      <extLst>
        <ext xmlns:x15="http://schemas.microsoft.com/office/spreadsheetml/2010/11/main" uri="{B97F6D7D-B522-45F9-BDA1-12C45D357490}">
          <x15:cacheHierarchy aggregatedColumn="2"/>
        </ext>
      </extLst>
    </cacheHierarchy>
  </cacheHierarchies>
  <kpis count="0"/>
  <dimensions count="4">
    <dimension measure="1" name="Measures" uniqueName="[Measures]" caption="Measures"/>
    <dimension name="TBLinvtry 1" uniqueName="[TBLinvtry 1]" caption="TBLinvtry 1"/>
    <dimension name="TBLPLace" uniqueName="[TBLPLace]" caption="TBLPLace"/>
    <dimension name="TBLprd" uniqueName="[TBLprd]" caption="TBLprd"/>
  </dimensions>
  <measureGroups count="3">
    <measureGroup name="TBLinvtry 1" caption="TBLinvtry 1"/>
    <measureGroup name="TBLPLace" caption="TBLPLace"/>
    <measureGroup name="TBLprd" caption="TBLprd"/>
  </measureGroups>
  <maps count="4">
    <map measureGroup="0" dimension="1"/>
    <map measureGroup="0" dimension="3"/>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soud" refreshedDate="44088.009890856483" backgroundQuery="1" createdVersion="3" refreshedVersion="6" minRefreshableVersion="3" recordCount="0" supportSubquery="1" supportAdvancedDrill="1" xr:uid="{FB66B0AA-86AB-41C3-8A32-8AB10FC2A31D}">
  <cacheSource type="external" connectionId="3">
    <extLst>
      <ext xmlns:x14="http://schemas.microsoft.com/office/spreadsheetml/2009/9/main" uri="{F057638F-6D5F-4e77-A914-E7F072B9BCA8}">
        <x14:sourceConnection name="ThisWorkbookDataModel"/>
      </ext>
    </extLst>
  </cacheSource>
  <cacheFields count="0"/>
  <cacheHierarchies count="17">
    <cacheHierarchy uniqueName="[TBLinvtry 1].[Code]" caption="Code" attribute="1" defaultMemberUniqueName="[TBLinvtry 1].[Code].[All]" allUniqueName="[TBLinvtry 1].[Code].[All]" dimensionUniqueName="[TBLinvtry 1]" displayFolder="" count="0" memberValueDatatype="130" unbalanced="0"/>
    <cacheHierarchy uniqueName="[TBLinvtry 1].[Name]" caption="Name" attribute="1" defaultMemberUniqueName="[TBLinvtry 1].[Name].[All]" allUniqueName="[TBLinvtry 1].[Name].[All]" dimensionUniqueName="[TBLinvtry 1]" displayFolder="" count="0" memberValueDatatype="130" unbalanced="0"/>
    <cacheHierarchy uniqueName="[TBLinvtry 1].[Inventory]" caption="Inventory" attribute="1" defaultMemberUniqueName="[TBLinvtry 1].[Inventory].[All]" allUniqueName="[TBLinvtry 1].[Inventory].[All]" dimensionUniqueName="[TBLinvtry 1]" displayFolder="" count="0" memberValueDatatype="20" unbalanced="0"/>
    <cacheHierarchy uniqueName="[TBLPLace].[States]" caption="States" attribute="1" defaultMemberUniqueName="[TBLPLace].[States].[All]" allUniqueName="[TBLPLace].[States].[All]" dimensionUniqueName="[TBLPLace]" displayFolder="" count="0" memberValueDatatype="130" unbalanced="0"/>
    <cacheHierarchy uniqueName="[TBLprd].[Code]" caption="Code" attribute="1" defaultMemberUniqueName="[TBLprd].[Code].[All]" allUniqueName="[TBLprd].[Code].[All]" dimensionUniqueName="[TBLprd]" displayFolder="" count="0" memberValueDatatype="130" unbalanced="0"/>
    <cacheHierarchy uniqueName="[TBLprd].[Name]" caption="Name" attribute="1" defaultMemberUniqueName="[TBLprd].[Name].[All]" allUniqueName="[TBLprd].[Name].[All]" dimensionUniqueName="[TBLprd]" displayFolder="" count="0" memberValueDatatype="130" unbalanced="0"/>
    <cacheHierarchy uniqueName="[TBLprd].[Count in Box]" caption="Count in Box" attribute="1" defaultMemberUniqueName="[TBLprd].[Count in Box].[All]" allUniqueName="[TBLprd].[Count in Box].[All]" dimensionUniqueName="[TBLprd]" displayFolder="" count="0" memberValueDatatype="20" unbalanced="0"/>
    <cacheHierarchy uniqueName="[TBLprd].[Brand]" caption="Brand" attribute="1" defaultMemberUniqueName="[TBLprd].[Brand].[All]" allUniqueName="[TBLprd].[Brand].[All]" dimensionUniqueName="[TBLprd]" displayFolder="" count="2" memberValueDatatype="130" unbalanced="0"/>
    <cacheHierarchy uniqueName="[TBLprd].[Company]" caption="Company" attribute="1" defaultMemberUniqueName="[TBLprd].[Company].[All]" allUniqueName="[TBLprd].[Company].[All]" dimensionUniqueName="[TBLprd]" displayFolder="" count="2" memberValueDatatype="130" unbalanced="0"/>
    <cacheHierarchy uniqueName="[TBLprd].[Price]" caption="Price" attribute="1" defaultMemberUniqueName="[TBLprd].[Price].[All]" allUniqueName="[TBLprd].[Price].[All]" dimensionUniqueName="[TBLprd]" displayFolder="" count="0" memberValueDatatype="20" unbalanced="0"/>
    <cacheHierarchy uniqueName="[Measures].[BOX]" caption="BOX" measure="1" displayFolder="" measureGroup="TBLinvtry 1" count="0"/>
    <cacheHierarchy uniqueName="[Measures].[inventory valuation]" caption="inventory valuation" measure="1" displayFolder="" measureGroup="TBLinvtry 1" count="0"/>
    <cacheHierarchy uniqueName="[Measures].[__XL_Count TBLPLace]" caption="__XL_Count TBLPLace" measure="1" displayFolder="" measureGroup="TBLPLace" count="0" hidden="1"/>
    <cacheHierarchy uniqueName="[Measures].[__XL_Count TBLprd]" caption="__XL_Count TBLprd" measure="1" displayFolder="" measureGroup="TBLprd" count="0" hidden="1"/>
    <cacheHierarchy uniqueName="[Measures].[__XL_Count TBLinvtry 1]" caption="__XL_Count TBLinvtry 1" measure="1" displayFolder="" measureGroup="TBLinvtry 1" count="0" hidden="1"/>
    <cacheHierarchy uniqueName="[Measures].[__No measures defined]" caption="__No measures defined" measure="1" displayFolder="" count="0" hidden="1"/>
    <cacheHierarchy uniqueName="[Measures].[Sum of Count in Box]" caption="Sum of Count in Box" measure="1" displayFolder="" measureGroup="TBLprd" count="0" hidden="1">
      <extLst>
        <ext xmlns:x15="http://schemas.microsoft.com/office/spreadsheetml/2010/11/main" uri="{B97F6D7D-B522-45F9-BDA1-12C45D357490}">
          <x15:cacheHierarchy aggregatedColumn="6"/>
        </ext>
      </extLst>
    </cacheHierarchy>
  </cacheHierarchies>
  <kpis count="0"/>
  <extLst>
    <ext xmlns:x14="http://schemas.microsoft.com/office/spreadsheetml/2009/9/main" uri="{725AE2AE-9491-48be-B2B4-4EB974FC3084}">
      <x14:pivotCacheDefinition slicerData="1" pivotCacheId="7179154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91708E0-FEE7-402F-9AA0-E6C12E83A8C1}" name="PivotTable1" cacheId="2" applyNumberFormats="0" applyBorderFormats="0" applyFontFormats="0" applyPatternFormats="0" applyAlignmentFormats="0" applyWidthHeightFormats="1" dataCaption="Values" tag="cc3bdf17-9a2a-4add-a94f-58807e99efdb" updatedVersion="6" minRefreshableVersion="3" useAutoFormatting="1" rowGrandTotals="0" colGrandTotals="0" itemPrintTitles="1" createdVersion="6" indent="0" showHeaders="0" compact="0" compactData="0" gridDropZones="1" multipleFieldFilters="0">
  <location ref="A1:E6" firstHeaderRow="1" firstDataRow="2" firstDataCol="1"/>
  <pivotFields count="3">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axis="axisCol" compact="0" allDrilled="1" outline="0" subtotalTop="0" showAll="0" dataSourceSort="1" defaultSubtotal="0" defaultAttributeDrillState="1">
      <items count="4">
        <item x="0"/>
        <item x="1"/>
        <item x="2"/>
        <item x="3"/>
      </items>
    </pivotField>
  </pivotFields>
  <rowFields count="1">
    <field x="0"/>
  </rowFields>
  <rowItems count="4">
    <i>
      <x/>
    </i>
    <i>
      <x v="1"/>
    </i>
    <i>
      <x v="2"/>
    </i>
    <i>
      <x v="3"/>
    </i>
  </rowItems>
  <colFields count="1">
    <field x="2"/>
  </colFields>
  <colItems count="4">
    <i>
      <x/>
    </i>
    <i>
      <x v="1"/>
    </i>
    <i>
      <x v="2"/>
    </i>
    <i>
      <x v="3"/>
    </i>
  </colItems>
  <dataFields count="1">
    <dataField fld="1" subtotal="count" baseField="0" baseItem="0"/>
  </dataFields>
  <formats count="9">
    <format dxfId="511">
      <pivotArea type="all" dataOnly="0" outline="0" fieldPosition="0"/>
    </format>
    <format dxfId="510">
      <pivotArea outline="0" collapsedLevelsAreSubtotals="1" fieldPosition="0"/>
    </format>
    <format dxfId="509">
      <pivotArea type="origin" dataOnly="0" labelOnly="1" outline="0" fieldPosition="0"/>
    </format>
    <format dxfId="508">
      <pivotArea type="all" dataOnly="0" outline="0" fieldPosition="0"/>
    </format>
    <format dxfId="507">
      <pivotArea outline="0" collapsedLevelsAreSubtotals="1" fieldPosition="0"/>
    </format>
    <format dxfId="506">
      <pivotArea type="origin" dataOnly="0" labelOnly="1" outline="0" fieldPosition="0"/>
    </format>
    <format dxfId="505">
      <pivotArea type="topRight" dataOnly="0" labelOnly="1" outline="0" fieldPosition="0"/>
    </format>
    <format dxfId="504">
      <pivotArea dataOnly="0" labelOnly="1" outline="0" fieldPosition="0">
        <references count="1">
          <reference field="0" count="0"/>
        </references>
      </pivotArea>
    </format>
    <format dxfId="503">
      <pivotArea dataOnly="0" labelOnly="1" outline="0" fieldPosition="0">
        <references count="1">
          <reference field="2" count="0"/>
        </references>
      </pivotArea>
    </format>
  </formats>
  <pivotHierarchies count="1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prd]"/>
        <x15:activeTabTopLevelEntity name="[TBLinvtry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09007D4-1486-468A-AAED-C66649674437}" name="PivotTable2" cacheId="1" applyNumberFormats="0" applyBorderFormats="0" applyFontFormats="0" applyPatternFormats="0" applyAlignmentFormats="0" applyWidthHeightFormats="1" dataCaption="Values" tag="d247f862-f723-4ae5-a618-81802eeae402" updatedVersion="6" minRefreshableVersion="3" useAutoFormatting="1" subtotalHiddenItems="1" itemPrintTitles="1" createdVersion="6" indent="0" outline="1" outlineData="1" multipleFieldFilters="0" chartFormat="8">
  <location ref="G2:H7"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Count in Box" fld="1" baseField="0" baseItem="0"/>
  </dataFields>
  <formats count="9">
    <format dxfId="520">
      <pivotArea type="all" dataOnly="0" outline="0" fieldPosition="0"/>
    </format>
    <format dxfId="519">
      <pivotArea outline="0" collapsedLevelsAreSubtotals="1" fieldPosition="0"/>
    </format>
    <format dxfId="518">
      <pivotArea dataOnly="0" labelOnly="1" grandRow="1" outline="0" fieldPosition="0"/>
    </format>
    <format dxfId="517">
      <pivotArea type="all" dataOnly="0" outline="0" fieldPosition="0"/>
    </format>
    <format dxfId="516">
      <pivotArea outline="0" collapsedLevelsAreSubtotals="1" fieldPosition="0"/>
    </format>
    <format dxfId="515">
      <pivotArea field="0" type="button" dataOnly="0" labelOnly="1" outline="0" axis="axisRow" fieldPosition="0"/>
    </format>
    <format dxfId="514">
      <pivotArea dataOnly="0" labelOnly="1" fieldPosition="0">
        <references count="1">
          <reference field="0" count="0"/>
        </references>
      </pivotArea>
    </format>
    <format dxfId="513">
      <pivotArea dataOnly="0" labelOnly="1" grandRow="1" outline="0" fieldPosition="0"/>
    </format>
    <format dxfId="512">
      <pivotArea dataOnly="0" labelOnly="1" outline="0" axis="axisValues" fieldPosition="0"/>
    </format>
  </formats>
  <chartFormats count="9">
    <chartFormat chart="7" format="17" series="1">
      <pivotArea type="data" outline="0" fieldPosition="0">
        <references count="2">
          <reference field="4294967294" count="1" selected="0">
            <x v="0"/>
          </reference>
          <reference field="0" count="1" selected="0">
            <x v="0"/>
          </reference>
        </references>
      </pivotArea>
    </chartFormat>
    <chartFormat chart="7" format="18" series="1">
      <pivotArea type="data" outline="0" fieldPosition="0">
        <references count="2">
          <reference field="4294967294" count="1" selected="0">
            <x v="0"/>
          </reference>
          <reference field="0" count="1" selected="0">
            <x v="1"/>
          </reference>
        </references>
      </pivotArea>
    </chartFormat>
    <chartFormat chart="7" format="19" series="1">
      <pivotArea type="data" outline="0" fieldPosition="0">
        <references count="2">
          <reference field="4294967294" count="1" selected="0">
            <x v="0"/>
          </reference>
          <reference field="0" count="1" selected="0">
            <x v="2"/>
          </reference>
        </references>
      </pivotArea>
    </chartFormat>
    <chartFormat chart="7" format="20" series="1">
      <pivotArea type="data" outline="0" fieldPosition="0">
        <references count="2">
          <reference field="4294967294" count="1" selected="0">
            <x v="0"/>
          </reference>
          <reference field="0" count="1" selected="0">
            <x v="3"/>
          </reference>
        </references>
      </pivotArea>
    </chartFormat>
    <chartFormat chart="7" format="21" series="1">
      <pivotArea type="data" outline="0" fieldPosition="0">
        <references count="1">
          <reference field="4294967294" count="1" selected="0">
            <x v="0"/>
          </reference>
        </references>
      </pivotArea>
    </chartFormat>
    <chartFormat chart="7" format="23">
      <pivotArea type="data" outline="0" fieldPosition="0">
        <references count="2">
          <reference field="4294967294" count="1" selected="0">
            <x v="0"/>
          </reference>
          <reference field="0" count="1" selected="0">
            <x v="0"/>
          </reference>
        </references>
      </pivotArea>
    </chartFormat>
    <chartFormat chart="7" format="24">
      <pivotArea type="data" outline="0" fieldPosition="0">
        <references count="2">
          <reference field="4294967294" count="1" selected="0">
            <x v="0"/>
          </reference>
          <reference field="0" count="1" selected="0">
            <x v="1"/>
          </reference>
        </references>
      </pivotArea>
    </chartFormat>
    <chartFormat chart="7" format="25">
      <pivotArea type="data" outline="0" fieldPosition="0">
        <references count="2">
          <reference field="4294967294" count="1" selected="0">
            <x v="0"/>
          </reference>
          <reference field="0" count="1" selected="0">
            <x v="2"/>
          </reference>
        </references>
      </pivotArea>
    </chartFormat>
    <chartFormat chart="7" format="26">
      <pivotArea type="data" outline="0" fieldPosition="0">
        <references count="2">
          <reference field="4294967294" count="1" selected="0">
            <x v="0"/>
          </reference>
          <reference field="0" count="1" selected="0">
            <x v="3"/>
          </reference>
        </references>
      </pivotArea>
    </chartFormat>
  </chartFormats>
  <pivotHierarchies count="1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pr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9ECB8A8-A477-443E-B270-9CEEE516ADB3}" name="PivotTable1" cacheId="0" applyNumberFormats="0" applyBorderFormats="0" applyFontFormats="0" applyPatternFormats="0" applyAlignmentFormats="0" applyWidthHeightFormats="1" dataCaption="Values" tag="c9eb2616-412a-4b4a-add7-b248d5e3674c" updatedVersion="6" minRefreshableVersion="3" useAutoFormatting="1" itemPrintTitles="1" createdVersion="6" indent="0" compact="0" compactData="0" gridDropZones="1" multipleFieldFilters="0">
  <location ref="A1:D212" firstHeaderRow="1" firstDataRow="2" firstDataCol="2"/>
  <pivotFields count="4">
    <pivotField axis="axisRow" compact="0" allDrilled="1" outline="0" subtotalTop="0" showAll="0" dataSourceSort="1" defaultSubtotal="0" defaultAttributeDrillState="1">
      <items count="2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s>
    </pivotField>
    <pivotField axis="axisRow" compact="0" allDrilled="1" outline="0" subtotalTop="0" showAll="0" dataSourceSort="1" defaultSubtotal="0" defaultAttributeDrillState="1">
      <items count="2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s>
    </pivotField>
    <pivotField dataField="1" compact="0" outline="0" subtotalTop="0" showAll="0" defaultSubtotal="0"/>
    <pivotField dataField="1" compact="0" outline="0" subtotalTop="0" showAll="0" defaultSubtotal="0"/>
  </pivotFields>
  <rowFields count="2">
    <field x="0"/>
    <field x="1"/>
  </rowFields>
  <rowItems count="210">
    <i>
      <x/>
      <x/>
    </i>
    <i>
      <x v="1"/>
      <x v="1"/>
    </i>
    <i>
      <x v="2"/>
      <x v="2"/>
    </i>
    <i>
      <x v="3"/>
      <x v="3"/>
    </i>
    <i>
      <x v="4"/>
      <x v="4"/>
    </i>
    <i>
      <x v="5"/>
      <x v="5"/>
    </i>
    <i>
      <x v="6"/>
      <x v="6"/>
    </i>
    <i>
      <x v="7"/>
      <x v="7"/>
    </i>
    <i>
      <x v="8"/>
      <x v="8"/>
    </i>
    <i>
      <x v="9"/>
      <x v="9"/>
    </i>
    <i>
      <x v="10"/>
      <x v="10"/>
    </i>
    <i>
      <x v="11"/>
      <x v="11"/>
    </i>
    <i>
      <x v="12"/>
      <x v="12"/>
    </i>
    <i>
      <x v="13"/>
      <x v="13"/>
    </i>
    <i>
      <x v="14"/>
      <x v="14"/>
    </i>
    <i>
      <x v="15"/>
      <x v="15"/>
    </i>
    <i>
      <x v="16"/>
      <x v="16"/>
    </i>
    <i>
      <x v="17"/>
      <x v="17"/>
    </i>
    <i>
      <x v="18"/>
      <x v="18"/>
    </i>
    <i>
      <x v="19"/>
      <x v="19"/>
    </i>
    <i>
      <x v="20"/>
      <x v="20"/>
    </i>
    <i>
      <x v="21"/>
      <x v="21"/>
    </i>
    <i>
      <x v="22"/>
      <x v="22"/>
    </i>
    <i>
      <x v="23"/>
      <x v="23"/>
    </i>
    <i>
      <x v="24"/>
      <x v="24"/>
    </i>
    <i>
      <x v="25"/>
      <x v="25"/>
    </i>
    <i>
      <x v="26"/>
      <x v="26"/>
    </i>
    <i>
      <x v="27"/>
      <x v="27"/>
    </i>
    <i>
      <x v="28"/>
      <x v="28"/>
    </i>
    <i>
      <x v="29"/>
      <x v="29"/>
    </i>
    <i>
      <x v="30"/>
      <x v="30"/>
    </i>
    <i>
      <x v="31"/>
      <x v="31"/>
    </i>
    <i>
      <x v="32"/>
      <x v="32"/>
    </i>
    <i>
      <x v="33"/>
      <x v="33"/>
    </i>
    <i>
      <x v="34"/>
      <x v="34"/>
    </i>
    <i>
      <x v="35"/>
      <x v="35"/>
    </i>
    <i>
      <x v="36"/>
      <x v="36"/>
    </i>
    <i>
      <x v="37"/>
      <x v="37"/>
    </i>
    <i>
      <x v="38"/>
      <x v="38"/>
    </i>
    <i>
      <x v="39"/>
      <x v="39"/>
    </i>
    <i>
      <x v="40"/>
      <x v="40"/>
    </i>
    <i>
      <x v="41"/>
      <x v="41"/>
    </i>
    <i>
      <x v="42"/>
      <x v="42"/>
    </i>
    <i>
      <x v="43"/>
      <x v="43"/>
    </i>
    <i>
      <x v="44"/>
      <x v="44"/>
    </i>
    <i>
      <x v="45"/>
      <x v="45"/>
    </i>
    <i>
      <x v="46"/>
      <x v="46"/>
    </i>
    <i>
      <x v="47"/>
      <x v="47"/>
    </i>
    <i>
      <x v="48"/>
      <x v="48"/>
    </i>
    <i>
      <x v="49"/>
      <x v="49"/>
    </i>
    <i>
      <x v="50"/>
      <x v="50"/>
    </i>
    <i>
      <x v="51"/>
      <x v="51"/>
    </i>
    <i>
      <x v="52"/>
      <x v="52"/>
    </i>
    <i>
      <x v="53"/>
      <x v="53"/>
    </i>
    <i>
      <x v="54"/>
      <x v="54"/>
    </i>
    <i>
      <x v="55"/>
      <x v="55"/>
    </i>
    <i>
      <x v="56"/>
      <x v="56"/>
    </i>
    <i>
      <x v="57"/>
      <x v="57"/>
    </i>
    <i>
      <x v="58"/>
      <x v="58"/>
    </i>
    <i>
      <x v="59"/>
      <x v="59"/>
    </i>
    <i>
      <x v="60"/>
      <x v="60"/>
    </i>
    <i>
      <x v="61"/>
      <x v="61"/>
    </i>
    <i>
      <x v="62"/>
      <x v="62"/>
    </i>
    <i>
      <x v="63"/>
      <x v="63"/>
    </i>
    <i>
      <x v="64"/>
      <x v="64"/>
    </i>
    <i>
      <x v="65"/>
      <x v="65"/>
    </i>
    <i>
      <x v="66"/>
      <x v="66"/>
    </i>
    <i>
      <x v="67"/>
      <x v="67"/>
    </i>
    <i>
      <x v="68"/>
      <x v="68"/>
    </i>
    <i>
      <x v="69"/>
      <x v="69"/>
    </i>
    <i>
      <x v="70"/>
      <x v="70"/>
    </i>
    <i>
      <x v="71"/>
      <x v="71"/>
    </i>
    <i>
      <x v="72"/>
      <x v="72"/>
    </i>
    <i>
      <x v="73"/>
      <x v="73"/>
    </i>
    <i>
      <x v="74"/>
      <x v="74"/>
    </i>
    <i>
      <x v="75"/>
      <x v="75"/>
    </i>
    <i>
      <x v="76"/>
      <x v="76"/>
    </i>
    <i>
      <x v="77"/>
      <x v="77"/>
    </i>
    <i>
      <x v="78"/>
      <x v="78"/>
    </i>
    <i>
      <x v="79"/>
      <x v="79"/>
    </i>
    <i>
      <x v="80"/>
      <x v="80"/>
    </i>
    <i>
      <x v="81"/>
      <x v="81"/>
    </i>
    <i>
      <x v="82"/>
      <x v="82"/>
    </i>
    <i>
      <x v="83"/>
      <x v="83"/>
    </i>
    <i>
      <x v="84"/>
      <x v="84"/>
    </i>
    <i>
      <x v="85"/>
      <x v="85"/>
    </i>
    <i>
      <x v="86"/>
      <x v="86"/>
    </i>
    <i>
      <x v="87"/>
      <x v="87"/>
    </i>
    <i>
      <x v="88"/>
      <x v="88"/>
    </i>
    <i>
      <x v="89"/>
      <x v="89"/>
    </i>
    <i>
      <x v="90"/>
      <x v="90"/>
    </i>
    <i>
      <x v="91"/>
      <x v="91"/>
    </i>
    <i>
      <x v="92"/>
      <x v="92"/>
    </i>
    <i>
      <x v="93"/>
      <x v="93"/>
    </i>
    <i>
      <x v="94"/>
      <x v="94"/>
    </i>
    <i>
      <x v="95"/>
      <x v="95"/>
    </i>
    <i>
      <x v="96"/>
      <x v="96"/>
    </i>
    <i>
      <x v="97"/>
      <x v="97"/>
    </i>
    <i>
      <x v="98"/>
      <x v="98"/>
    </i>
    <i>
      <x v="99"/>
      <x v="99"/>
    </i>
    <i>
      <x v="100"/>
      <x v="100"/>
    </i>
    <i>
      <x v="101"/>
      <x v="101"/>
    </i>
    <i>
      <x v="102"/>
      <x v="102"/>
    </i>
    <i>
      <x v="103"/>
      <x v="103"/>
    </i>
    <i>
      <x v="104"/>
      <x v="104"/>
    </i>
    <i>
      <x v="105"/>
      <x v="105"/>
    </i>
    <i>
      <x v="106"/>
      <x v="106"/>
    </i>
    <i>
      <x v="107"/>
      <x v="107"/>
    </i>
    <i>
      <x v="108"/>
      <x v="108"/>
    </i>
    <i>
      <x v="109"/>
      <x v="109"/>
    </i>
    <i>
      <x v="110"/>
      <x v="110"/>
    </i>
    <i>
      <x v="111"/>
      <x v="111"/>
    </i>
    <i>
      <x v="112"/>
      <x v="112"/>
    </i>
    <i>
      <x v="113"/>
      <x v="113"/>
    </i>
    <i>
      <x v="114"/>
      <x v="114"/>
    </i>
    <i>
      <x v="115"/>
      <x v="115"/>
    </i>
    <i>
      <x v="116"/>
      <x v="116"/>
    </i>
    <i>
      <x v="117"/>
      <x v="117"/>
    </i>
    <i>
      <x v="118"/>
      <x v="118"/>
    </i>
    <i>
      <x v="119"/>
      <x v="119"/>
    </i>
    <i>
      <x v="120"/>
      <x v="120"/>
    </i>
    <i>
      <x v="121"/>
      <x v="121"/>
    </i>
    <i>
      <x v="122"/>
      <x v="122"/>
    </i>
    <i>
      <x v="123"/>
      <x v="123"/>
    </i>
    <i>
      <x v="124"/>
      <x v="124"/>
    </i>
    <i>
      <x v="125"/>
      <x v="125"/>
    </i>
    <i>
      <x v="126"/>
      <x v="126"/>
    </i>
    <i>
      <x v="127"/>
      <x v="127"/>
    </i>
    <i>
      <x v="128"/>
      <x v="128"/>
    </i>
    <i>
      <x v="129"/>
      <x v="129"/>
    </i>
    <i>
      <x v="130"/>
      <x v="130"/>
    </i>
    <i>
      <x v="131"/>
      <x v="131"/>
    </i>
    <i>
      <x v="132"/>
      <x v="132"/>
    </i>
    <i>
      <x v="133"/>
      <x v="133"/>
    </i>
    <i>
      <x v="134"/>
      <x v="134"/>
    </i>
    <i>
      <x v="135"/>
      <x v="135"/>
    </i>
    <i>
      <x v="136"/>
      <x v="136"/>
    </i>
    <i>
      <x v="137"/>
      <x v="137"/>
    </i>
    <i>
      <x v="138"/>
      <x v="138"/>
    </i>
    <i>
      <x v="139"/>
      <x v="139"/>
    </i>
    <i>
      <x v="140"/>
      <x v="140"/>
    </i>
    <i>
      <x v="141"/>
      <x v="141"/>
    </i>
    <i>
      <x v="142"/>
      <x v="142"/>
    </i>
    <i>
      <x v="143"/>
      <x v="143"/>
    </i>
    <i>
      <x v="144"/>
      <x v="144"/>
    </i>
    <i>
      <x v="145"/>
      <x v="145"/>
    </i>
    <i>
      <x v="146"/>
      <x v="146"/>
    </i>
    <i>
      <x v="147"/>
      <x v="147"/>
    </i>
    <i>
      <x v="148"/>
      <x v="148"/>
    </i>
    <i>
      <x v="149"/>
      <x v="149"/>
    </i>
    <i>
      <x v="150"/>
      <x v="150"/>
    </i>
    <i>
      <x v="151"/>
      <x v="151"/>
    </i>
    <i>
      <x v="152"/>
      <x v="152"/>
    </i>
    <i>
      <x v="153"/>
      <x v="153"/>
    </i>
    <i>
      <x v="154"/>
      <x v="154"/>
    </i>
    <i>
      <x v="155"/>
      <x v="155"/>
    </i>
    <i>
      <x v="156"/>
      <x v="156"/>
    </i>
    <i>
      <x v="157"/>
      <x v="157"/>
    </i>
    <i>
      <x v="158"/>
      <x v="158"/>
    </i>
    <i>
      <x v="159"/>
      <x v="159"/>
    </i>
    <i>
      <x v="160"/>
      <x v="160"/>
    </i>
    <i>
      <x v="161"/>
      <x v="161"/>
    </i>
    <i>
      <x v="162"/>
      <x v="162"/>
    </i>
    <i>
      <x v="163"/>
      <x v="163"/>
    </i>
    <i>
      <x v="164"/>
      <x v="164"/>
    </i>
    <i>
      <x v="165"/>
      <x v="165"/>
    </i>
    <i>
      <x v="166"/>
      <x v="166"/>
    </i>
    <i>
      <x v="167"/>
      <x v="167"/>
    </i>
    <i>
      <x v="168"/>
      <x v="168"/>
    </i>
    <i>
      <x v="169"/>
      <x v="169"/>
    </i>
    <i>
      <x v="170"/>
      <x v="170"/>
    </i>
    <i>
      <x v="171"/>
      <x v="171"/>
    </i>
    <i>
      <x v="172"/>
      <x v="172"/>
    </i>
    <i>
      <x v="173"/>
      <x v="173"/>
    </i>
    <i>
      <x v="174"/>
      <x v="174"/>
    </i>
    <i>
      <x v="175"/>
      <x v="175"/>
    </i>
    <i>
      <x v="176"/>
      <x v="176"/>
    </i>
    <i>
      <x v="177"/>
      <x v="177"/>
    </i>
    <i>
      <x v="178"/>
      <x v="178"/>
    </i>
    <i>
      <x v="179"/>
      <x v="179"/>
    </i>
    <i>
      <x v="180"/>
      <x v="180"/>
    </i>
    <i>
      <x v="181"/>
      <x v="181"/>
    </i>
    <i>
      <x v="182"/>
      <x v="182"/>
    </i>
    <i>
      <x v="183"/>
      <x v="183"/>
    </i>
    <i>
      <x v="184"/>
      <x v="184"/>
    </i>
    <i>
      <x v="185"/>
      <x v="185"/>
    </i>
    <i>
      <x v="186"/>
      <x v="186"/>
    </i>
    <i>
      <x v="187"/>
      <x v="187"/>
    </i>
    <i>
      <x v="188"/>
      <x v="188"/>
    </i>
    <i>
      <x v="189"/>
      <x v="189"/>
    </i>
    <i>
      <x v="190"/>
      <x v="190"/>
    </i>
    <i>
      <x v="191"/>
      <x v="191"/>
    </i>
    <i>
      <x v="192"/>
      <x v="192"/>
    </i>
    <i>
      <x v="193"/>
      <x v="193"/>
    </i>
    <i>
      <x v="194"/>
      <x v="194"/>
    </i>
    <i>
      <x v="195"/>
      <x v="195"/>
    </i>
    <i>
      <x v="196"/>
      <x v="196"/>
    </i>
    <i>
      <x v="197"/>
      <x v="197"/>
    </i>
    <i>
      <x v="198"/>
      <x v="198"/>
    </i>
    <i>
      <x v="199"/>
      <x v="199"/>
    </i>
    <i>
      <x v="200"/>
      <x v="200"/>
    </i>
    <i>
      <x v="201"/>
      <x v="201"/>
    </i>
    <i>
      <x v="202"/>
      <x v="202"/>
    </i>
    <i>
      <x v="203"/>
      <x v="203"/>
    </i>
    <i>
      <x v="204"/>
      <x v="204"/>
    </i>
    <i>
      <x v="205"/>
      <x v="205"/>
    </i>
    <i>
      <x v="206"/>
      <x v="206"/>
    </i>
    <i>
      <x v="207"/>
      <x v="207"/>
    </i>
    <i>
      <x v="208"/>
      <x v="208"/>
    </i>
    <i t="grand">
      <x/>
    </i>
  </rowItems>
  <colFields count="1">
    <field x="-2"/>
  </colFields>
  <colItems count="2">
    <i>
      <x/>
    </i>
    <i i="1">
      <x v="1"/>
    </i>
  </colItems>
  <dataFields count="2">
    <dataField name="Sum of Inventory" fld="3" baseField="0" baseItem="0"/>
    <dataField fld="2" subtotal="count" baseField="0" baseItem="0"/>
  </dataFields>
  <formats count="442">
    <format dxfId="502">
      <pivotArea type="all" dataOnly="0" outline="0" fieldPosition="0"/>
    </format>
    <format dxfId="501">
      <pivotArea outline="0" collapsedLevelsAreSubtotals="1" fieldPosition="0"/>
    </format>
    <format dxfId="500">
      <pivotArea type="origin" dataOnly="0" labelOnly="1" outline="0" fieldPosition="0"/>
    </format>
    <format dxfId="499">
      <pivotArea field="0" type="button" dataOnly="0" labelOnly="1" outline="0" axis="axisRow" fieldPosition="0"/>
    </format>
    <format dxfId="498">
      <pivotArea field="1" type="button" dataOnly="0" labelOnly="1" outline="0" axis="axisRow" fieldPosition="1"/>
    </format>
    <format dxfId="497">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96">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495">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494">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493">
      <pivotArea dataOnly="0" labelOnly="1" outline="0" fieldPosition="0">
        <references count="1">
          <reference field="0" count="9">
            <x v="200"/>
            <x v="201"/>
            <x v="202"/>
            <x v="203"/>
            <x v="204"/>
            <x v="205"/>
            <x v="206"/>
            <x v="207"/>
            <x v="208"/>
          </reference>
        </references>
      </pivotArea>
    </format>
    <format dxfId="492">
      <pivotArea dataOnly="0" labelOnly="1" grandRow="1" outline="0" fieldPosition="0"/>
    </format>
    <format dxfId="491">
      <pivotArea dataOnly="0" labelOnly="1" outline="0" fieldPosition="0">
        <references count="2">
          <reference field="0" count="1" selected="0">
            <x v="0"/>
          </reference>
          <reference field="1" count="1">
            <x v="0"/>
          </reference>
        </references>
      </pivotArea>
    </format>
    <format dxfId="490">
      <pivotArea dataOnly="0" labelOnly="1" outline="0" fieldPosition="0">
        <references count="2">
          <reference field="0" count="1" selected="0">
            <x v="1"/>
          </reference>
          <reference field="1" count="1">
            <x v="1"/>
          </reference>
        </references>
      </pivotArea>
    </format>
    <format dxfId="489">
      <pivotArea dataOnly="0" labelOnly="1" outline="0" fieldPosition="0">
        <references count="2">
          <reference field="0" count="1" selected="0">
            <x v="2"/>
          </reference>
          <reference field="1" count="1">
            <x v="2"/>
          </reference>
        </references>
      </pivotArea>
    </format>
    <format dxfId="488">
      <pivotArea dataOnly="0" labelOnly="1" outline="0" fieldPosition="0">
        <references count="2">
          <reference field="0" count="1" selected="0">
            <x v="3"/>
          </reference>
          <reference field="1" count="1">
            <x v="3"/>
          </reference>
        </references>
      </pivotArea>
    </format>
    <format dxfId="487">
      <pivotArea dataOnly="0" labelOnly="1" outline="0" fieldPosition="0">
        <references count="2">
          <reference field="0" count="1" selected="0">
            <x v="4"/>
          </reference>
          <reference field="1" count="1">
            <x v="4"/>
          </reference>
        </references>
      </pivotArea>
    </format>
    <format dxfId="486">
      <pivotArea dataOnly="0" labelOnly="1" outline="0" fieldPosition="0">
        <references count="2">
          <reference field="0" count="1" selected="0">
            <x v="5"/>
          </reference>
          <reference field="1" count="1">
            <x v="5"/>
          </reference>
        </references>
      </pivotArea>
    </format>
    <format dxfId="485">
      <pivotArea dataOnly="0" labelOnly="1" outline="0" fieldPosition="0">
        <references count="2">
          <reference field="0" count="1" selected="0">
            <x v="6"/>
          </reference>
          <reference field="1" count="1">
            <x v="6"/>
          </reference>
        </references>
      </pivotArea>
    </format>
    <format dxfId="484">
      <pivotArea dataOnly="0" labelOnly="1" outline="0" fieldPosition="0">
        <references count="2">
          <reference field="0" count="1" selected="0">
            <x v="7"/>
          </reference>
          <reference field="1" count="1">
            <x v="7"/>
          </reference>
        </references>
      </pivotArea>
    </format>
    <format dxfId="483">
      <pivotArea dataOnly="0" labelOnly="1" outline="0" fieldPosition="0">
        <references count="2">
          <reference field="0" count="1" selected="0">
            <x v="8"/>
          </reference>
          <reference field="1" count="1">
            <x v="8"/>
          </reference>
        </references>
      </pivotArea>
    </format>
    <format dxfId="482">
      <pivotArea dataOnly="0" labelOnly="1" outline="0" fieldPosition="0">
        <references count="2">
          <reference field="0" count="1" selected="0">
            <x v="9"/>
          </reference>
          <reference field="1" count="1">
            <x v="9"/>
          </reference>
        </references>
      </pivotArea>
    </format>
    <format dxfId="481">
      <pivotArea dataOnly="0" labelOnly="1" outline="0" fieldPosition="0">
        <references count="2">
          <reference field="0" count="1" selected="0">
            <x v="10"/>
          </reference>
          <reference field="1" count="1">
            <x v="10"/>
          </reference>
        </references>
      </pivotArea>
    </format>
    <format dxfId="480">
      <pivotArea dataOnly="0" labelOnly="1" outline="0" fieldPosition="0">
        <references count="2">
          <reference field="0" count="1" selected="0">
            <x v="11"/>
          </reference>
          <reference field="1" count="1">
            <x v="11"/>
          </reference>
        </references>
      </pivotArea>
    </format>
    <format dxfId="479">
      <pivotArea dataOnly="0" labelOnly="1" outline="0" fieldPosition="0">
        <references count="2">
          <reference field="0" count="1" selected="0">
            <x v="12"/>
          </reference>
          <reference field="1" count="1">
            <x v="12"/>
          </reference>
        </references>
      </pivotArea>
    </format>
    <format dxfId="478">
      <pivotArea dataOnly="0" labelOnly="1" outline="0" fieldPosition="0">
        <references count="2">
          <reference field="0" count="1" selected="0">
            <x v="13"/>
          </reference>
          <reference field="1" count="1">
            <x v="13"/>
          </reference>
        </references>
      </pivotArea>
    </format>
    <format dxfId="477">
      <pivotArea dataOnly="0" labelOnly="1" outline="0" fieldPosition="0">
        <references count="2">
          <reference field="0" count="1" selected="0">
            <x v="14"/>
          </reference>
          <reference field="1" count="1">
            <x v="14"/>
          </reference>
        </references>
      </pivotArea>
    </format>
    <format dxfId="476">
      <pivotArea dataOnly="0" labelOnly="1" outline="0" fieldPosition="0">
        <references count="2">
          <reference field="0" count="1" selected="0">
            <x v="15"/>
          </reference>
          <reference field="1" count="1">
            <x v="15"/>
          </reference>
        </references>
      </pivotArea>
    </format>
    <format dxfId="475">
      <pivotArea dataOnly="0" labelOnly="1" outline="0" fieldPosition="0">
        <references count="2">
          <reference field="0" count="1" selected="0">
            <x v="16"/>
          </reference>
          <reference field="1" count="1">
            <x v="16"/>
          </reference>
        </references>
      </pivotArea>
    </format>
    <format dxfId="474">
      <pivotArea dataOnly="0" labelOnly="1" outline="0" fieldPosition="0">
        <references count="2">
          <reference field="0" count="1" selected="0">
            <x v="17"/>
          </reference>
          <reference field="1" count="1">
            <x v="17"/>
          </reference>
        </references>
      </pivotArea>
    </format>
    <format dxfId="473">
      <pivotArea dataOnly="0" labelOnly="1" outline="0" fieldPosition="0">
        <references count="2">
          <reference field="0" count="1" selected="0">
            <x v="18"/>
          </reference>
          <reference field="1" count="1">
            <x v="18"/>
          </reference>
        </references>
      </pivotArea>
    </format>
    <format dxfId="472">
      <pivotArea dataOnly="0" labelOnly="1" outline="0" fieldPosition="0">
        <references count="2">
          <reference field="0" count="1" selected="0">
            <x v="19"/>
          </reference>
          <reference field="1" count="1">
            <x v="19"/>
          </reference>
        </references>
      </pivotArea>
    </format>
    <format dxfId="471">
      <pivotArea dataOnly="0" labelOnly="1" outline="0" fieldPosition="0">
        <references count="2">
          <reference field="0" count="1" selected="0">
            <x v="20"/>
          </reference>
          <reference field="1" count="1">
            <x v="20"/>
          </reference>
        </references>
      </pivotArea>
    </format>
    <format dxfId="470">
      <pivotArea dataOnly="0" labelOnly="1" outline="0" fieldPosition="0">
        <references count="2">
          <reference field="0" count="1" selected="0">
            <x v="21"/>
          </reference>
          <reference field="1" count="1">
            <x v="21"/>
          </reference>
        </references>
      </pivotArea>
    </format>
    <format dxfId="469">
      <pivotArea dataOnly="0" labelOnly="1" outline="0" fieldPosition="0">
        <references count="2">
          <reference field="0" count="1" selected="0">
            <x v="22"/>
          </reference>
          <reference field="1" count="1">
            <x v="22"/>
          </reference>
        </references>
      </pivotArea>
    </format>
    <format dxfId="468">
      <pivotArea dataOnly="0" labelOnly="1" outline="0" fieldPosition="0">
        <references count="2">
          <reference field="0" count="1" selected="0">
            <x v="23"/>
          </reference>
          <reference field="1" count="1">
            <x v="23"/>
          </reference>
        </references>
      </pivotArea>
    </format>
    <format dxfId="467">
      <pivotArea dataOnly="0" labelOnly="1" outline="0" fieldPosition="0">
        <references count="2">
          <reference field="0" count="1" selected="0">
            <x v="24"/>
          </reference>
          <reference field="1" count="1">
            <x v="24"/>
          </reference>
        </references>
      </pivotArea>
    </format>
    <format dxfId="466">
      <pivotArea dataOnly="0" labelOnly="1" outline="0" fieldPosition="0">
        <references count="2">
          <reference field="0" count="1" selected="0">
            <x v="25"/>
          </reference>
          <reference field="1" count="1">
            <x v="25"/>
          </reference>
        </references>
      </pivotArea>
    </format>
    <format dxfId="465">
      <pivotArea dataOnly="0" labelOnly="1" outline="0" fieldPosition="0">
        <references count="2">
          <reference field="0" count="1" selected="0">
            <x v="26"/>
          </reference>
          <reference field="1" count="1">
            <x v="26"/>
          </reference>
        </references>
      </pivotArea>
    </format>
    <format dxfId="464">
      <pivotArea dataOnly="0" labelOnly="1" outline="0" fieldPosition="0">
        <references count="2">
          <reference field="0" count="1" selected="0">
            <x v="27"/>
          </reference>
          <reference field="1" count="1">
            <x v="27"/>
          </reference>
        </references>
      </pivotArea>
    </format>
    <format dxfId="463">
      <pivotArea dataOnly="0" labelOnly="1" outline="0" fieldPosition="0">
        <references count="2">
          <reference field="0" count="1" selected="0">
            <x v="28"/>
          </reference>
          <reference field="1" count="1">
            <x v="28"/>
          </reference>
        </references>
      </pivotArea>
    </format>
    <format dxfId="462">
      <pivotArea dataOnly="0" labelOnly="1" outline="0" fieldPosition="0">
        <references count="2">
          <reference field="0" count="1" selected="0">
            <x v="29"/>
          </reference>
          <reference field="1" count="1">
            <x v="29"/>
          </reference>
        </references>
      </pivotArea>
    </format>
    <format dxfId="461">
      <pivotArea dataOnly="0" labelOnly="1" outline="0" fieldPosition="0">
        <references count="2">
          <reference field="0" count="1" selected="0">
            <x v="30"/>
          </reference>
          <reference field="1" count="1">
            <x v="30"/>
          </reference>
        </references>
      </pivotArea>
    </format>
    <format dxfId="460">
      <pivotArea dataOnly="0" labelOnly="1" outline="0" fieldPosition="0">
        <references count="2">
          <reference field="0" count="1" selected="0">
            <x v="31"/>
          </reference>
          <reference field="1" count="1">
            <x v="31"/>
          </reference>
        </references>
      </pivotArea>
    </format>
    <format dxfId="459">
      <pivotArea dataOnly="0" labelOnly="1" outline="0" fieldPosition="0">
        <references count="2">
          <reference field="0" count="1" selected="0">
            <x v="32"/>
          </reference>
          <reference field="1" count="1">
            <x v="32"/>
          </reference>
        </references>
      </pivotArea>
    </format>
    <format dxfId="458">
      <pivotArea dataOnly="0" labelOnly="1" outline="0" fieldPosition="0">
        <references count="2">
          <reference field="0" count="1" selected="0">
            <x v="33"/>
          </reference>
          <reference field="1" count="1">
            <x v="33"/>
          </reference>
        </references>
      </pivotArea>
    </format>
    <format dxfId="457">
      <pivotArea dataOnly="0" labelOnly="1" outline="0" fieldPosition="0">
        <references count="2">
          <reference field="0" count="1" selected="0">
            <x v="34"/>
          </reference>
          <reference field="1" count="1">
            <x v="34"/>
          </reference>
        </references>
      </pivotArea>
    </format>
    <format dxfId="456">
      <pivotArea dataOnly="0" labelOnly="1" outline="0" fieldPosition="0">
        <references count="2">
          <reference field="0" count="1" selected="0">
            <x v="35"/>
          </reference>
          <reference field="1" count="1">
            <x v="35"/>
          </reference>
        </references>
      </pivotArea>
    </format>
    <format dxfId="455">
      <pivotArea dataOnly="0" labelOnly="1" outline="0" fieldPosition="0">
        <references count="2">
          <reference field="0" count="1" selected="0">
            <x v="36"/>
          </reference>
          <reference field="1" count="1">
            <x v="36"/>
          </reference>
        </references>
      </pivotArea>
    </format>
    <format dxfId="454">
      <pivotArea dataOnly="0" labelOnly="1" outline="0" fieldPosition="0">
        <references count="2">
          <reference field="0" count="1" selected="0">
            <x v="37"/>
          </reference>
          <reference field="1" count="1">
            <x v="37"/>
          </reference>
        </references>
      </pivotArea>
    </format>
    <format dxfId="453">
      <pivotArea dataOnly="0" labelOnly="1" outline="0" fieldPosition="0">
        <references count="2">
          <reference field="0" count="1" selected="0">
            <x v="38"/>
          </reference>
          <reference field="1" count="1">
            <x v="38"/>
          </reference>
        </references>
      </pivotArea>
    </format>
    <format dxfId="452">
      <pivotArea dataOnly="0" labelOnly="1" outline="0" fieldPosition="0">
        <references count="2">
          <reference field="0" count="1" selected="0">
            <x v="39"/>
          </reference>
          <reference field="1" count="1">
            <x v="39"/>
          </reference>
        </references>
      </pivotArea>
    </format>
    <format dxfId="451">
      <pivotArea dataOnly="0" labelOnly="1" outline="0" fieldPosition="0">
        <references count="2">
          <reference field="0" count="1" selected="0">
            <x v="40"/>
          </reference>
          <reference field="1" count="1">
            <x v="40"/>
          </reference>
        </references>
      </pivotArea>
    </format>
    <format dxfId="450">
      <pivotArea dataOnly="0" labelOnly="1" outline="0" fieldPosition="0">
        <references count="2">
          <reference field="0" count="1" selected="0">
            <x v="41"/>
          </reference>
          <reference field="1" count="1">
            <x v="41"/>
          </reference>
        </references>
      </pivotArea>
    </format>
    <format dxfId="449">
      <pivotArea dataOnly="0" labelOnly="1" outline="0" fieldPosition="0">
        <references count="2">
          <reference field="0" count="1" selected="0">
            <x v="42"/>
          </reference>
          <reference field="1" count="1">
            <x v="42"/>
          </reference>
        </references>
      </pivotArea>
    </format>
    <format dxfId="448">
      <pivotArea dataOnly="0" labelOnly="1" outline="0" fieldPosition="0">
        <references count="2">
          <reference field="0" count="1" selected="0">
            <x v="43"/>
          </reference>
          <reference field="1" count="1">
            <x v="43"/>
          </reference>
        </references>
      </pivotArea>
    </format>
    <format dxfId="447">
      <pivotArea dataOnly="0" labelOnly="1" outline="0" fieldPosition="0">
        <references count="2">
          <reference field="0" count="1" selected="0">
            <x v="44"/>
          </reference>
          <reference field="1" count="1">
            <x v="44"/>
          </reference>
        </references>
      </pivotArea>
    </format>
    <format dxfId="446">
      <pivotArea dataOnly="0" labelOnly="1" outline="0" fieldPosition="0">
        <references count="2">
          <reference field="0" count="1" selected="0">
            <x v="45"/>
          </reference>
          <reference field="1" count="1">
            <x v="45"/>
          </reference>
        </references>
      </pivotArea>
    </format>
    <format dxfId="445">
      <pivotArea dataOnly="0" labelOnly="1" outline="0" fieldPosition="0">
        <references count="2">
          <reference field="0" count="1" selected="0">
            <x v="46"/>
          </reference>
          <reference field="1" count="1">
            <x v="46"/>
          </reference>
        </references>
      </pivotArea>
    </format>
    <format dxfId="444">
      <pivotArea dataOnly="0" labelOnly="1" outline="0" fieldPosition="0">
        <references count="2">
          <reference field="0" count="1" selected="0">
            <x v="47"/>
          </reference>
          <reference field="1" count="1">
            <x v="47"/>
          </reference>
        </references>
      </pivotArea>
    </format>
    <format dxfId="443">
      <pivotArea dataOnly="0" labelOnly="1" outline="0" fieldPosition="0">
        <references count="2">
          <reference field="0" count="1" selected="0">
            <x v="48"/>
          </reference>
          <reference field="1" count="1">
            <x v="48"/>
          </reference>
        </references>
      </pivotArea>
    </format>
    <format dxfId="442">
      <pivotArea dataOnly="0" labelOnly="1" outline="0" fieldPosition="0">
        <references count="2">
          <reference field="0" count="1" selected="0">
            <x v="49"/>
          </reference>
          <reference field="1" count="1">
            <x v="49"/>
          </reference>
        </references>
      </pivotArea>
    </format>
    <format dxfId="441">
      <pivotArea dataOnly="0" labelOnly="1" outline="0" fieldPosition="0">
        <references count="2">
          <reference field="0" count="1" selected="0">
            <x v="50"/>
          </reference>
          <reference field="1" count="1">
            <x v="50"/>
          </reference>
        </references>
      </pivotArea>
    </format>
    <format dxfId="440">
      <pivotArea dataOnly="0" labelOnly="1" outline="0" fieldPosition="0">
        <references count="2">
          <reference field="0" count="1" selected="0">
            <x v="51"/>
          </reference>
          <reference field="1" count="1">
            <x v="51"/>
          </reference>
        </references>
      </pivotArea>
    </format>
    <format dxfId="439">
      <pivotArea dataOnly="0" labelOnly="1" outline="0" fieldPosition="0">
        <references count="2">
          <reference field="0" count="1" selected="0">
            <x v="52"/>
          </reference>
          <reference field="1" count="1">
            <x v="52"/>
          </reference>
        </references>
      </pivotArea>
    </format>
    <format dxfId="438">
      <pivotArea dataOnly="0" labelOnly="1" outline="0" fieldPosition="0">
        <references count="2">
          <reference field="0" count="1" selected="0">
            <x v="53"/>
          </reference>
          <reference field="1" count="1">
            <x v="53"/>
          </reference>
        </references>
      </pivotArea>
    </format>
    <format dxfId="437">
      <pivotArea dataOnly="0" labelOnly="1" outline="0" fieldPosition="0">
        <references count="2">
          <reference field="0" count="1" selected="0">
            <x v="54"/>
          </reference>
          <reference field="1" count="1">
            <x v="54"/>
          </reference>
        </references>
      </pivotArea>
    </format>
    <format dxfId="436">
      <pivotArea dataOnly="0" labelOnly="1" outline="0" fieldPosition="0">
        <references count="2">
          <reference field="0" count="1" selected="0">
            <x v="55"/>
          </reference>
          <reference field="1" count="1">
            <x v="55"/>
          </reference>
        </references>
      </pivotArea>
    </format>
    <format dxfId="435">
      <pivotArea dataOnly="0" labelOnly="1" outline="0" fieldPosition="0">
        <references count="2">
          <reference field="0" count="1" selected="0">
            <x v="56"/>
          </reference>
          <reference field="1" count="1">
            <x v="56"/>
          </reference>
        </references>
      </pivotArea>
    </format>
    <format dxfId="434">
      <pivotArea dataOnly="0" labelOnly="1" outline="0" fieldPosition="0">
        <references count="2">
          <reference field="0" count="1" selected="0">
            <x v="57"/>
          </reference>
          <reference field="1" count="1">
            <x v="57"/>
          </reference>
        </references>
      </pivotArea>
    </format>
    <format dxfId="433">
      <pivotArea dataOnly="0" labelOnly="1" outline="0" fieldPosition="0">
        <references count="2">
          <reference field="0" count="1" selected="0">
            <x v="58"/>
          </reference>
          <reference field="1" count="1">
            <x v="58"/>
          </reference>
        </references>
      </pivotArea>
    </format>
    <format dxfId="432">
      <pivotArea dataOnly="0" labelOnly="1" outline="0" fieldPosition="0">
        <references count="2">
          <reference field="0" count="1" selected="0">
            <x v="59"/>
          </reference>
          <reference field="1" count="1">
            <x v="59"/>
          </reference>
        </references>
      </pivotArea>
    </format>
    <format dxfId="431">
      <pivotArea dataOnly="0" labelOnly="1" outline="0" fieldPosition="0">
        <references count="2">
          <reference field="0" count="1" selected="0">
            <x v="60"/>
          </reference>
          <reference field="1" count="1">
            <x v="60"/>
          </reference>
        </references>
      </pivotArea>
    </format>
    <format dxfId="430">
      <pivotArea dataOnly="0" labelOnly="1" outline="0" fieldPosition="0">
        <references count="2">
          <reference field="0" count="1" selected="0">
            <x v="61"/>
          </reference>
          <reference field="1" count="1">
            <x v="61"/>
          </reference>
        </references>
      </pivotArea>
    </format>
    <format dxfId="429">
      <pivotArea dataOnly="0" labelOnly="1" outline="0" fieldPosition="0">
        <references count="2">
          <reference field="0" count="1" selected="0">
            <x v="62"/>
          </reference>
          <reference field="1" count="1">
            <x v="62"/>
          </reference>
        </references>
      </pivotArea>
    </format>
    <format dxfId="428">
      <pivotArea dataOnly="0" labelOnly="1" outline="0" fieldPosition="0">
        <references count="2">
          <reference field="0" count="1" selected="0">
            <x v="63"/>
          </reference>
          <reference field="1" count="1">
            <x v="63"/>
          </reference>
        </references>
      </pivotArea>
    </format>
    <format dxfId="427">
      <pivotArea dataOnly="0" labelOnly="1" outline="0" fieldPosition="0">
        <references count="2">
          <reference field="0" count="1" selected="0">
            <x v="64"/>
          </reference>
          <reference field="1" count="1">
            <x v="64"/>
          </reference>
        </references>
      </pivotArea>
    </format>
    <format dxfId="426">
      <pivotArea dataOnly="0" labelOnly="1" outline="0" fieldPosition="0">
        <references count="2">
          <reference field="0" count="1" selected="0">
            <x v="65"/>
          </reference>
          <reference field="1" count="1">
            <x v="65"/>
          </reference>
        </references>
      </pivotArea>
    </format>
    <format dxfId="425">
      <pivotArea dataOnly="0" labelOnly="1" outline="0" fieldPosition="0">
        <references count="2">
          <reference field="0" count="1" selected="0">
            <x v="66"/>
          </reference>
          <reference field="1" count="1">
            <x v="66"/>
          </reference>
        </references>
      </pivotArea>
    </format>
    <format dxfId="424">
      <pivotArea dataOnly="0" labelOnly="1" outline="0" fieldPosition="0">
        <references count="2">
          <reference field="0" count="1" selected="0">
            <x v="67"/>
          </reference>
          <reference field="1" count="1">
            <x v="67"/>
          </reference>
        </references>
      </pivotArea>
    </format>
    <format dxfId="423">
      <pivotArea dataOnly="0" labelOnly="1" outline="0" fieldPosition="0">
        <references count="2">
          <reference field="0" count="1" selected="0">
            <x v="68"/>
          </reference>
          <reference field="1" count="1">
            <x v="68"/>
          </reference>
        </references>
      </pivotArea>
    </format>
    <format dxfId="422">
      <pivotArea dataOnly="0" labelOnly="1" outline="0" fieldPosition="0">
        <references count="2">
          <reference field="0" count="1" selected="0">
            <x v="69"/>
          </reference>
          <reference field="1" count="1">
            <x v="69"/>
          </reference>
        </references>
      </pivotArea>
    </format>
    <format dxfId="421">
      <pivotArea dataOnly="0" labelOnly="1" outline="0" fieldPosition="0">
        <references count="2">
          <reference field="0" count="1" selected="0">
            <x v="70"/>
          </reference>
          <reference field="1" count="1">
            <x v="70"/>
          </reference>
        </references>
      </pivotArea>
    </format>
    <format dxfId="420">
      <pivotArea dataOnly="0" labelOnly="1" outline="0" fieldPosition="0">
        <references count="2">
          <reference field="0" count="1" selected="0">
            <x v="71"/>
          </reference>
          <reference field="1" count="1">
            <x v="71"/>
          </reference>
        </references>
      </pivotArea>
    </format>
    <format dxfId="419">
      <pivotArea dataOnly="0" labelOnly="1" outline="0" fieldPosition="0">
        <references count="2">
          <reference field="0" count="1" selected="0">
            <x v="72"/>
          </reference>
          <reference field="1" count="1">
            <x v="72"/>
          </reference>
        </references>
      </pivotArea>
    </format>
    <format dxfId="418">
      <pivotArea dataOnly="0" labelOnly="1" outline="0" fieldPosition="0">
        <references count="2">
          <reference field="0" count="1" selected="0">
            <x v="73"/>
          </reference>
          <reference field="1" count="1">
            <x v="73"/>
          </reference>
        </references>
      </pivotArea>
    </format>
    <format dxfId="417">
      <pivotArea dataOnly="0" labelOnly="1" outline="0" fieldPosition="0">
        <references count="2">
          <reference field="0" count="1" selected="0">
            <x v="74"/>
          </reference>
          <reference field="1" count="1">
            <x v="74"/>
          </reference>
        </references>
      </pivotArea>
    </format>
    <format dxfId="416">
      <pivotArea dataOnly="0" labelOnly="1" outline="0" fieldPosition="0">
        <references count="2">
          <reference field="0" count="1" selected="0">
            <x v="75"/>
          </reference>
          <reference field="1" count="1">
            <x v="75"/>
          </reference>
        </references>
      </pivotArea>
    </format>
    <format dxfId="415">
      <pivotArea dataOnly="0" labelOnly="1" outline="0" fieldPosition="0">
        <references count="2">
          <reference field="0" count="1" selected="0">
            <x v="76"/>
          </reference>
          <reference field="1" count="1">
            <x v="76"/>
          </reference>
        </references>
      </pivotArea>
    </format>
    <format dxfId="414">
      <pivotArea dataOnly="0" labelOnly="1" outline="0" fieldPosition="0">
        <references count="2">
          <reference field="0" count="1" selected="0">
            <x v="77"/>
          </reference>
          <reference field="1" count="1">
            <x v="77"/>
          </reference>
        </references>
      </pivotArea>
    </format>
    <format dxfId="413">
      <pivotArea dataOnly="0" labelOnly="1" outline="0" fieldPosition="0">
        <references count="2">
          <reference field="0" count="1" selected="0">
            <x v="78"/>
          </reference>
          <reference field="1" count="1">
            <x v="78"/>
          </reference>
        </references>
      </pivotArea>
    </format>
    <format dxfId="412">
      <pivotArea dataOnly="0" labelOnly="1" outline="0" fieldPosition="0">
        <references count="2">
          <reference field="0" count="1" selected="0">
            <x v="79"/>
          </reference>
          <reference field="1" count="1">
            <x v="79"/>
          </reference>
        </references>
      </pivotArea>
    </format>
    <format dxfId="411">
      <pivotArea dataOnly="0" labelOnly="1" outline="0" fieldPosition="0">
        <references count="2">
          <reference field="0" count="1" selected="0">
            <x v="80"/>
          </reference>
          <reference field="1" count="1">
            <x v="80"/>
          </reference>
        </references>
      </pivotArea>
    </format>
    <format dxfId="410">
      <pivotArea dataOnly="0" labelOnly="1" outline="0" fieldPosition="0">
        <references count="2">
          <reference field="0" count="1" selected="0">
            <x v="81"/>
          </reference>
          <reference field="1" count="1">
            <x v="81"/>
          </reference>
        </references>
      </pivotArea>
    </format>
    <format dxfId="409">
      <pivotArea dataOnly="0" labelOnly="1" outline="0" fieldPosition="0">
        <references count="2">
          <reference field="0" count="1" selected="0">
            <x v="82"/>
          </reference>
          <reference field="1" count="1">
            <x v="82"/>
          </reference>
        </references>
      </pivotArea>
    </format>
    <format dxfId="408">
      <pivotArea dataOnly="0" labelOnly="1" outline="0" fieldPosition="0">
        <references count="2">
          <reference field="0" count="1" selected="0">
            <x v="83"/>
          </reference>
          <reference field="1" count="1">
            <x v="83"/>
          </reference>
        </references>
      </pivotArea>
    </format>
    <format dxfId="407">
      <pivotArea dataOnly="0" labelOnly="1" outline="0" fieldPosition="0">
        <references count="2">
          <reference field="0" count="1" selected="0">
            <x v="84"/>
          </reference>
          <reference field="1" count="1">
            <x v="84"/>
          </reference>
        </references>
      </pivotArea>
    </format>
    <format dxfId="406">
      <pivotArea dataOnly="0" labelOnly="1" outline="0" fieldPosition="0">
        <references count="2">
          <reference field="0" count="1" selected="0">
            <x v="85"/>
          </reference>
          <reference field="1" count="1">
            <x v="85"/>
          </reference>
        </references>
      </pivotArea>
    </format>
    <format dxfId="405">
      <pivotArea dataOnly="0" labelOnly="1" outline="0" fieldPosition="0">
        <references count="2">
          <reference field="0" count="1" selected="0">
            <x v="86"/>
          </reference>
          <reference field="1" count="1">
            <x v="86"/>
          </reference>
        </references>
      </pivotArea>
    </format>
    <format dxfId="404">
      <pivotArea dataOnly="0" labelOnly="1" outline="0" fieldPosition="0">
        <references count="2">
          <reference field="0" count="1" selected="0">
            <x v="87"/>
          </reference>
          <reference field="1" count="1">
            <x v="87"/>
          </reference>
        </references>
      </pivotArea>
    </format>
    <format dxfId="403">
      <pivotArea dataOnly="0" labelOnly="1" outline="0" fieldPosition="0">
        <references count="2">
          <reference field="0" count="1" selected="0">
            <x v="88"/>
          </reference>
          <reference field="1" count="1">
            <x v="88"/>
          </reference>
        </references>
      </pivotArea>
    </format>
    <format dxfId="402">
      <pivotArea dataOnly="0" labelOnly="1" outline="0" fieldPosition="0">
        <references count="2">
          <reference field="0" count="1" selected="0">
            <x v="89"/>
          </reference>
          <reference field="1" count="1">
            <x v="89"/>
          </reference>
        </references>
      </pivotArea>
    </format>
    <format dxfId="401">
      <pivotArea dataOnly="0" labelOnly="1" outline="0" fieldPosition="0">
        <references count="2">
          <reference field="0" count="1" selected="0">
            <x v="90"/>
          </reference>
          <reference field="1" count="1">
            <x v="90"/>
          </reference>
        </references>
      </pivotArea>
    </format>
    <format dxfId="400">
      <pivotArea dataOnly="0" labelOnly="1" outline="0" fieldPosition="0">
        <references count="2">
          <reference field="0" count="1" selected="0">
            <x v="91"/>
          </reference>
          <reference field="1" count="1">
            <x v="91"/>
          </reference>
        </references>
      </pivotArea>
    </format>
    <format dxfId="399">
      <pivotArea dataOnly="0" labelOnly="1" outline="0" fieldPosition="0">
        <references count="2">
          <reference field="0" count="1" selected="0">
            <x v="92"/>
          </reference>
          <reference field="1" count="1">
            <x v="92"/>
          </reference>
        </references>
      </pivotArea>
    </format>
    <format dxfId="398">
      <pivotArea dataOnly="0" labelOnly="1" outline="0" fieldPosition="0">
        <references count="2">
          <reference field="0" count="1" selected="0">
            <x v="93"/>
          </reference>
          <reference field="1" count="1">
            <x v="93"/>
          </reference>
        </references>
      </pivotArea>
    </format>
    <format dxfId="397">
      <pivotArea dataOnly="0" labelOnly="1" outline="0" fieldPosition="0">
        <references count="2">
          <reference field="0" count="1" selected="0">
            <x v="94"/>
          </reference>
          <reference field="1" count="1">
            <x v="94"/>
          </reference>
        </references>
      </pivotArea>
    </format>
    <format dxfId="396">
      <pivotArea dataOnly="0" labelOnly="1" outline="0" fieldPosition="0">
        <references count="2">
          <reference field="0" count="1" selected="0">
            <x v="95"/>
          </reference>
          <reference field="1" count="1">
            <x v="95"/>
          </reference>
        </references>
      </pivotArea>
    </format>
    <format dxfId="395">
      <pivotArea dataOnly="0" labelOnly="1" outline="0" fieldPosition="0">
        <references count="2">
          <reference field="0" count="1" selected="0">
            <x v="96"/>
          </reference>
          <reference field="1" count="1">
            <x v="96"/>
          </reference>
        </references>
      </pivotArea>
    </format>
    <format dxfId="394">
      <pivotArea dataOnly="0" labelOnly="1" outline="0" fieldPosition="0">
        <references count="2">
          <reference field="0" count="1" selected="0">
            <x v="97"/>
          </reference>
          <reference field="1" count="1">
            <x v="97"/>
          </reference>
        </references>
      </pivotArea>
    </format>
    <format dxfId="393">
      <pivotArea dataOnly="0" labelOnly="1" outline="0" fieldPosition="0">
        <references count="2">
          <reference field="0" count="1" selected="0">
            <x v="98"/>
          </reference>
          <reference field="1" count="1">
            <x v="98"/>
          </reference>
        </references>
      </pivotArea>
    </format>
    <format dxfId="392">
      <pivotArea dataOnly="0" labelOnly="1" outline="0" fieldPosition="0">
        <references count="2">
          <reference field="0" count="1" selected="0">
            <x v="99"/>
          </reference>
          <reference field="1" count="1">
            <x v="99"/>
          </reference>
        </references>
      </pivotArea>
    </format>
    <format dxfId="391">
      <pivotArea dataOnly="0" labelOnly="1" outline="0" fieldPosition="0">
        <references count="2">
          <reference field="0" count="1" selected="0">
            <x v="100"/>
          </reference>
          <reference field="1" count="1">
            <x v="100"/>
          </reference>
        </references>
      </pivotArea>
    </format>
    <format dxfId="390">
      <pivotArea dataOnly="0" labelOnly="1" outline="0" fieldPosition="0">
        <references count="2">
          <reference field="0" count="1" selected="0">
            <x v="101"/>
          </reference>
          <reference field="1" count="1">
            <x v="101"/>
          </reference>
        </references>
      </pivotArea>
    </format>
    <format dxfId="389">
      <pivotArea dataOnly="0" labelOnly="1" outline="0" fieldPosition="0">
        <references count="2">
          <reference field="0" count="1" selected="0">
            <x v="102"/>
          </reference>
          <reference field="1" count="1">
            <x v="102"/>
          </reference>
        </references>
      </pivotArea>
    </format>
    <format dxfId="388">
      <pivotArea dataOnly="0" labelOnly="1" outline="0" fieldPosition="0">
        <references count="2">
          <reference field="0" count="1" selected="0">
            <x v="103"/>
          </reference>
          <reference field="1" count="1">
            <x v="103"/>
          </reference>
        </references>
      </pivotArea>
    </format>
    <format dxfId="387">
      <pivotArea dataOnly="0" labelOnly="1" outline="0" fieldPosition="0">
        <references count="2">
          <reference field="0" count="1" selected="0">
            <x v="104"/>
          </reference>
          <reference field="1" count="1">
            <x v="104"/>
          </reference>
        </references>
      </pivotArea>
    </format>
    <format dxfId="386">
      <pivotArea dataOnly="0" labelOnly="1" outline="0" fieldPosition="0">
        <references count="2">
          <reference field="0" count="1" selected="0">
            <x v="105"/>
          </reference>
          <reference field="1" count="1">
            <x v="105"/>
          </reference>
        </references>
      </pivotArea>
    </format>
    <format dxfId="385">
      <pivotArea dataOnly="0" labelOnly="1" outline="0" fieldPosition="0">
        <references count="2">
          <reference field="0" count="1" selected="0">
            <x v="106"/>
          </reference>
          <reference field="1" count="1">
            <x v="106"/>
          </reference>
        </references>
      </pivotArea>
    </format>
    <format dxfId="384">
      <pivotArea dataOnly="0" labelOnly="1" outline="0" fieldPosition="0">
        <references count="2">
          <reference field="0" count="1" selected="0">
            <x v="107"/>
          </reference>
          <reference field="1" count="1">
            <x v="107"/>
          </reference>
        </references>
      </pivotArea>
    </format>
    <format dxfId="383">
      <pivotArea dataOnly="0" labelOnly="1" outline="0" fieldPosition="0">
        <references count="2">
          <reference field="0" count="1" selected="0">
            <x v="108"/>
          </reference>
          <reference field="1" count="1">
            <x v="108"/>
          </reference>
        </references>
      </pivotArea>
    </format>
    <format dxfId="382">
      <pivotArea dataOnly="0" labelOnly="1" outline="0" fieldPosition="0">
        <references count="2">
          <reference field="0" count="1" selected="0">
            <x v="109"/>
          </reference>
          <reference field="1" count="1">
            <x v="109"/>
          </reference>
        </references>
      </pivotArea>
    </format>
    <format dxfId="381">
      <pivotArea dataOnly="0" labelOnly="1" outline="0" fieldPosition="0">
        <references count="2">
          <reference field="0" count="1" selected="0">
            <x v="110"/>
          </reference>
          <reference field="1" count="1">
            <x v="110"/>
          </reference>
        </references>
      </pivotArea>
    </format>
    <format dxfId="380">
      <pivotArea dataOnly="0" labelOnly="1" outline="0" fieldPosition="0">
        <references count="2">
          <reference field="0" count="1" selected="0">
            <x v="111"/>
          </reference>
          <reference field="1" count="1">
            <x v="111"/>
          </reference>
        </references>
      </pivotArea>
    </format>
    <format dxfId="379">
      <pivotArea dataOnly="0" labelOnly="1" outline="0" fieldPosition="0">
        <references count="2">
          <reference field="0" count="1" selected="0">
            <x v="112"/>
          </reference>
          <reference field="1" count="1">
            <x v="112"/>
          </reference>
        </references>
      </pivotArea>
    </format>
    <format dxfId="378">
      <pivotArea dataOnly="0" labelOnly="1" outline="0" fieldPosition="0">
        <references count="2">
          <reference field="0" count="1" selected="0">
            <x v="113"/>
          </reference>
          <reference field="1" count="1">
            <x v="113"/>
          </reference>
        </references>
      </pivotArea>
    </format>
    <format dxfId="377">
      <pivotArea dataOnly="0" labelOnly="1" outline="0" fieldPosition="0">
        <references count="2">
          <reference field="0" count="1" selected="0">
            <x v="114"/>
          </reference>
          <reference field="1" count="1">
            <x v="114"/>
          </reference>
        </references>
      </pivotArea>
    </format>
    <format dxfId="376">
      <pivotArea dataOnly="0" labelOnly="1" outline="0" fieldPosition="0">
        <references count="2">
          <reference field="0" count="1" selected="0">
            <x v="115"/>
          </reference>
          <reference field="1" count="1">
            <x v="115"/>
          </reference>
        </references>
      </pivotArea>
    </format>
    <format dxfId="375">
      <pivotArea dataOnly="0" labelOnly="1" outline="0" fieldPosition="0">
        <references count="2">
          <reference field="0" count="1" selected="0">
            <x v="116"/>
          </reference>
          <reference field="1" count="1">
            <x v="116"/>
          </reference>
        </references>
      </pivotArea>
    </format>
    <format dxfId="374">
      <pivotArea dataOnly="0" labelOnly="1" outline="0" fieldPosition="0">
        <references count="2">
          <reference field="0" count="1" selected="0">
            <x v="117"/>
          </reference>
          <reference field="1" count="1">
            <x v="117"/>
          </reference>
        </references>
      </pivotArea>
    </format>
    <format dxfId="373">
      <pivotArea dataOnly="0" labelOnly="1" outline="0" fieldPosition="0">
        <references count="2">
          <reference field="0" count="1" selected="0">
            <x v="118"/>
          </reference>
          <reference field="1" count="1">
            <x v="118"/>
          </reference>
        </references>
      </pivotArea>
    </format>
    <format dxfId="372">
      <pivotArea dataOnly="0" labelOnly="1" outline="0" fieldPosition="0">
        <references count="2">
          <reference field="0" count="1" selected="0">
            <x v="119"/>
          </reference>
          <reference field="1" count="1">
            <x v="119"/>
          </reference>
        </references>
      </pivotArea>
    </format>
    <format dxfId="371">
      <pivotArea dataOnly="0" labelOnly="1" outline="0" fieldPosition="0">
        <references count="2">
          <reference field="0" count="1" selected="0">
            <x v="120"/>
          </reference>
          <reference field="1" count="1">
            <x v="120"/>
          </reference>
        </references>
      </pivotArea>
    </format>
    <format dxfId="370">
      <pivotArea dataOnly="0" labelOnly="1" outline="0" fieldPosition="0">
        <references count="2">
          <reference field="0" count="1" selected="0">
            <x v="121"/>
          </reference>
          <reference field="1" count="1">
            <x v="121"/>
          </reference>
        </references>
      </pivotArea>
    </format>
    <format dxfId="369">
      <pivotArea dataOnly="0" labelOnly="1" outline="0" fieldPosition="0">
        <references count="2">
          <reference field="0" count="1" selected="0">
            <x v="122"/>
          </reference>
          <reference field="1" count="1">
            <x v="122"/>
          </reference>
        </references>
      </pivotArea>
    </format>
    <format dxfId="368">
      <pivotArea dataOnly="0" labelOnly="1" outline="0" fieldPosition="0">
        <references count="2">
          <reference field="0" count="1" selected="0">
            <x v="123"/>
          </reference>
          <reference field="1" count="1">
            <x v="123"/>
          </reference>
        </references>
      </pivotArea>
    </format>
    <format dxfId="367">
      <pivotArea dataOnly="0" labelOnly="1" outline="0" fieldPosition="0">
        <references count="2">
          <reference field="0" count="1" selected="0">
            <x v="124"/>
          </reference>
          <reference field="1" count="1">
            <x v="124"/>
          </reference>
        </references>
      </pivotArea>
    </format>
    <format dxfId="366">
      <pivotArea dataOnly="0" labelOnly="1" outline="0" fieldPosition="0">
        <references count="2">
          <reference field="0" count="1" selected="0">
            <x v="125"/>
          </reference>
          <reference field="1" count="1">
            <x v="125"/>
          </reference>
        </references>
      </pivotArea>
    </format>
    <format dxfId="365">
      <pivotArea dataOnly="0" labelOnly="1" outline="0" fieldPosition="0">
        <references count="2">
          <reference field="0" count="1" selected="0">
            <x v="126"/>
          </reference>
          <reference field="1" count="1">
            <x v="126"/>
          </reference>
        </references>
      </pivotArea>
    </format>
    <format dxfId="364">
      <pivotArea dataOnly="0" labelOnly="1" outline="0" fieldPosition="0">
        <references count="2">
          <reference field="0" count="1" selected="0">
            <x v="127"/>
          </reference>
          <reference field="1" count="1">
            <x v="127"/>
          </reference>
        </references>
      </pivotArea>
    </format>
    <format dxfId="363">
      <pivotArea dataOnly="0" labelOnly="1" outline="0" fieldPosition="0">
        <references count="2">
          <reference field="0" count="1" selected="0">
            <x v="128"/>
          </reference>
          <reference field="1" count="1">
            <x v="128"/>
          </reference>
        </references>
      </pivotArea>
    </format>
    <format dxfId="362">
      <pivotArea dataOnly="0" labelOnly="1" outline="0" fieldPosition="0">
        <references count="2">
          <reference field="0" count="1" selected="0">
            <x v="129"/>
          </reference>
          <reference field="1" count="1">
            <x v="129"/>
          </reference>
        </references>
      </pivotArea>
    </format>
    <format dxfId="361">
      <pivotArea dataOnly="0" labelOnly="1" outline="0" fieldPosition="0">
        <references count="2">
          <reference field="0" count="1" selected="0">
            <x v="130"/>
          </reference>
          <reference field="1" count="1">
            <x v="130"/>
          </reference>
        </references>
      </pivotArea>
    </format>
    <format dxfId="360">
      <pivotArea dataOnly="0" labelOnly="1" outline="0" fieldPosition="0">
        <references count="2">
          <reference field="0" count="1" selected="0">
            <x v="131"/>
          </reference>
          <reference field="1" count="1">
            <x v="131"/>
          </reference>
        </references>
      </pivotArea>
    </format>
    <format dxfId="359">
      <pivotArea dataOnly="0" labelOnly="1" outline="0" fieldPosition="0">
        <references count="2">
          <reference field="0" count="1" selected="0">
            <x v="132"/>
          </reference>
          <reference field="1" count="1">
            <x v="132"/>
          </reference>
        </references>
      </pivotArea>
    </format>
    <format dxfId="358">
      <pivotArea dataOnly="0" labelOnly="1" outline="0" fieldPosition="0">
        <references count="2">
          <reference field="0" count="1" selected="0">
            <x v="133"/>
          </reference>
          <reference field="1" count="1">
            <x v="133"/>
          </reference>
        </references>
      </pivotArea>
    </format>
    <format dxfId="357">
      <pivotArea dataOnly="0" labelOnly="1" outline="0" fieldPosition="0">
        <references count="2">
          <reference field="0" count="1" selected="0">
            <x v="134"/>
          </reference>
          <reference field="1" count="1">
            <x v="134"/>
          </reference>
        </references>
      </pivotArea>
    </format>
    <format dxfId="356">
      <pivotArea dataOnly="0" labelOnly="1" outline="0" fieldPosition="0">
        <references count="2">
          <reference field="0" count="1" selected="0">
            <x v="135"/>
          </reference>
          <reference field="1" count="1">
            <x v="135"/>
          </reference>
        </references>
      </pivotArea>
    </format>
    <format dxfId="355">
      <pivotArea dataOnly="0" labelOnly="1" outline="0" fieldPosition="0">
        <references count="2">
          <reference field="0" count="1" selected="0">
            <x v="136"/>
          </reference>
          <reference field="1" count="1">
            <x v="136"/>
          </reference>
        </references>
      </pivotArea>
    </format>
    <format dxfId="354">
      <pivotArea dataOnly="0" labelOnly="1" outline="0" fieldPosition="0">
        <references count="2">
          <reference field="0" count="1" selected="0">
            <x v="137"/>
          </reference>
          <reference field="1" count="1">
            <x v="137"/>
          </reference>
        </references>
      </pivotArea>
    </format>
    <format dxfId="353">
      <pivotArea dataOnly="0" labelOnly="1" outline="0" fieldPosition="0">
        <references count="2">
          <reference field="0" count="1" selected="0">
            <x v="138"/>
          </reference>
          <reference field="1" count="1">
            <x v="138"/>
          </reference>
        </references>
      </pivotArea>
    </format>
    <format dxfId="352">
      <pivotArea dataOnly="0" labelOnly="1" outline="0" fieldPosition="0">
        <references count="2">
          <reference field="0" count="1" selected="0">
            <x v="139"/>
          </reference>
          <reference field="1" count="1">
            <x v="139"/>
          </reference>
        </references>
      </pivotArea>
    </format>
    <format dxfId="351">
      <pivotArea dataOnly="0" labelOnly="1" outline="0" fieldPosition="0">
        <references count="2">
          <reference field="0" count="1" selected="0">
            <x v="140"/>
          </reference>
          <reference field="1" count="1">
            <x v="140"/>
          </reference>
        </references>
      </pivotArea>
    </format>
    <format dxfId="350">
      <pivotArea dataOnly="0" labelOnly="1" outline="0" fieldPosition="0">
        <references count="2">
          <reference field="0" count="1" selected="0">
            <x v="141"/>
          </reference>
          <reference field="1" count="1">
            <x v="141"/>
          </reference>
        </references>
      </pivotArea>
    </format>
    <format dxfId="349">
      <pivotArea dataOnly="0" labelOnly="1" outline="0" fieldPosition="0">
        <references count="2">
          <reference field="0" count="1" selected="0">
            <x v="142"/>
          </reference>
          <reference field="1" count="1">
            <x v="142"/>
          </reference>
        </references>
      </pivotArea>
    </format>
    <format dxfId="348">
      <pivotArea dataOnly="0" labelOnly="1" outline="0" fieldPosition="0">
        <references count="2">
          <reference field="0" count="1" selected="0">
            <x v="143"/>
          </reference>
          <reference field="1" count="1">
            <x v="143"/>
          </reference>
        </references>
      </pivotArea>
    </format>
    <format dxfId="347">
      <pivotArea dataOnly="0" labelOnly="1" outline="0" fieldPosition="0">
        <references count="2">
          <reference field="0" count="1" selected="0">
            <x v="144"/>
          </reference>
          <reference field="1" count="1">
            <x v="144"/>
          </reference>
        </references>
      </pivotArea>
    </format>
    <format dxfId="346">
      <pivotArea dataOnly="0" labelOnly="1" outline="0" fieldPosition="0">
        <references count="2">
          <reference field="0" count="1" selected="0">
            <x v="145"/>
          </reference>
          <reference field="1" count="1">
            <x v="145"/>
          </reference>
        </references>
      </pivotArea>
    </format>
    <format dxfId="345">
      <pivotArea dataOnly="0" labelOnly="1" outline="0" fieldPosition="0">
        <references count="2">
          <reference field="0" count="1" selected="0">
            <x v="146"/>
          </reference>
          <reference field="1" count="1">
            <x v="146"/>
          </reference>
        </references>
      </pivotArea>
    </format>
    <format dxfId="344">
      <pivotArea dataOnly="0" labelOnly="1" outline="0" fieldPosition="0">
        <references count="2">
          <reference field="0" count="1" selected="0">
            <x v="147"/>
          </reference>
          <reference field="1" count="1">
            <x v="147"/>
          </reference>
        </references>
      </pivotArea>
    </format>
    <format dxfId="343">
      <pivotArea dataOnly="0" labelOnly="1" outline="0" fieldPosition="0">
        <references count="2">
          <reference field="0" count="1" selected="0">
            <x v="148"/>
          </reference>
          <reference field="1" count="1">
            <x v="148"/>
          </reference>
        </references>
      </pivotArea>
    </format>
    <format dxfId="342">
      <pivotArea dataOnly="0" labelOnly="1" outline="0" fieldPosition="0">
        <references count="2">
          <reference field="0" count="1" selected="0">
            <x v="149"/>
          </reference>
          <reference field="1" count="1">
            <x v="149"/>
          </reference>
        </references>
      </pivotArea>
    </format>
    <format dxfId="341">
      <pivotArea dataOnly="0" labelOnly="1" outline="0" fieldPosition="0">
        <references count="2">
          <reference field="0" count="1" selected="0">
            <x v="150"/>
          </reference>
          <reference field="1" count="1">
            <x v="150"/>
          </reference>
        </references>
      </pivotArea>
    </format>
    <format dxfId="340">
      <pivotArea dataOnly="0" labelOnly="1" outline="0" fieldPosition="0">
        <references count="2">
          <reference field="0" count="1" selected="0">
            <x v="151"/>
          </reference>
          <reference field="1" count="1">
            <x v="151"/>
          </reference>
        </references>
      </pivotArea>
    </format>
    <format dxfId="339">
      <pivotArea dataOnly="0" labelOnly="1" outline="0" fieldPosition="0">
        <references count="2">
          <reference field="0" count="1" selected="0">
            <x v="152"/>
          </reference>
          <reference field="1" count="1">
            <x v="152"/>
          </reference>
        </references>
      </pivotArea>
    </format>
    <format dxfId="338">
      <pivotArea dataOnly="0" labelOnly="1" outline="0" fieldPosition="0">
        <references count="2">
          <reference field="0" count="1" selected="0">
            <x v="153"/>
          </reference>
          <reference field="1" count="1">
            <x v="153"/>
          </reference>
        </references>
      </pivotArea>
    </format>
    <format dxfId="337">
      <pivotArea dataOnly="0" labelOnly="1" outline="0" fieldPosition="0">
        <references count="2">
          <reference field="0" count="1" selected="0">
            <x v="154"/>
          </reference>
          <reference field="1" count="1">
            <x v="154"/>
          </reference>
        </references>
      </pivotArea>
    </format>
    <format dxfId="336">
      <pivotArea dataOnly="0" labelOnly="1" outline="0" fieldPosition="0">
        <references count="2">
          <reference field="0" count="1" selected="0">
            <x v="155"/>
          </reference>
          <reference field="1" count="1">
            <x v="155"/>
          </reference>
        </references>
      </pivotArea>
    </format>
    <format dxfId="335">
      <pivotArea dataOnly="0" labelOnly="1" outline="0" fieldPosition="0">
        <references count="2">
          <reference field="0" count="1" selected="0">
            <x v="156"/>
          </reference>
          <reference field="1" count="1">
            <x v="156"/>
          </reference>
        </references>
      </pivotArea>
    </format>
    <format dxfId="334">
      <pivotArea dataOnly="0" labelOnly="1" outline="0" fieldPosition="0">
        <references count="2">
          <reference field="0" count="1" selected="0">
            <x v="157"/>
          </reference>
          <reference field="1" count="1">
            <x v="157"/>
          </reference>
        </references>
      </pivotArea>
    </format>
    <format dxfId="333">
      <pivotArea dataOnly="0" labelOnly="1" outline="0" fieldPosition="0">
        <references count="2">
          <reference field="0" count="1" selected="0">
            <x v="158"/>
          </reference>
          <reference field="1" count="1">
            <x v="158"/>
          </reference>
        </references>
      </pivotArea>
    </format>
    <format dxfId="332">
      <pivotArea dataOnly="0" labelOnly="1" outline="0" fieldPosition="0">
        <references count="2">
          <reference field="0" count="1" selected="0">
            <x v="159"/>
          </reference>
          <reference field="1" count="1">
            <x v="159"/>
          </reference>
        </references>
      </pivotArea>
    </format>
    <format dxfId="331">
      <pivotArea dataOnly="0" labelOnly="1" outline="0" fieldPosition="0">
        <references count="2">
          <reference field="0" count="1" selected="0">
            <x v="160"/>
          </reference>
          <reference field="1" count="1">
            <x v="160"/>
          </reference>
        </references>
      </pivotArea>
    </format>
    <format dxfId="330">
      <pivotArea dataOnly="0" labelOnly="1" outline="0" fieldPosition="0">
        <references count="2">
          <reference field="0" count="1" selected="0">
            <x v="161"/>
          </reference>
          <reference field="1" count="1">
            <x v="161"/>
          </reference>
        </references>
      </pivotArea>
    </format>
    <format dxfId="329">
      <pivotArea dataOnly="0" labelOnly="1" outline="0" fieldPosition="0">
        <references count="2">
          <reference field="0" count="1" selected="0">
            <x v="162"/>
          </reference>
          <reference field="1" count="1">
            <x v="162"/>
          </reference>
        </references>
      </pivotArea>
    </format>
    <format dxfId="328">
      <pivotArea dataOnly="0" labelOnly="1" outline="0" fieldPosition="0">
        <references count="2">
          <reference field="0" count="1" selected="0">
            <x v="163"/>
          </reference>
          <reference field="1" count="1">
            <x v="163"/>
          </reference>
        </references>
      </pivotArea>
    </format>
    <format dxfId="327">
      <pivotArea dataOnly="0" labelOnly="1" outline="0" fieldPosition="0">
        <references count="2">
          <reference field="0" count="1" selected="0">
            <x v="164"/>
          </reference>
          <reference field="1" count="1">
            <x v="164"/>
          </reference>
        </references>
      </pivotArea>
    </format>
    <format dxfId="326">
      <pivotArea dataOnly="0" labelOnly="1" outline="0" fieldPosition="0">
        <references count="2">
          <reference field="0" count="1" selected="0">
            <x v="165"/>
          </reference>
          <reference field="1" count="1">
            <x v="165"/>
          </reference>
        </references>
      </pivotArea>
    </format>
    <format dxfId="325">
      <pivotArea dataOnly="0" labelOnly="1" outline="0" fieldPosition="0">
        <references count="2">
          <reference field="0" count="1" selected="0">
            <x v="166"/>
          </reference>
          <reference field="1" count="1">
            <x v="166"/>
          </reference>
        </references>
      </pivotArea>
    </format>
    <format dxfId="324">
      <pivotArea dataOnly="0" labelOnly="1" outline="0" fieldPosition="0">
        <references count="2">
          <reference field="0" count="1" selected="0">
            <x v="167"/>
          </reference>
          <reference field="1" count="1">
            <x v="167"/>
          </reference>
        </references>
      </pivotArea>
    </format>
    <format dxfId="323">
      <pivotArea dataOnly="0" labelOnly="1" outline="0" fieldPosition="0">
        <references count="2">
          <reference field="0" count="1" selected="0">
            <x v="168"/>
          </reference>
          <reference field="1" count="1">
            <x v="168"/>
          </reference>
        </references>
      </pivotArea>
    </format>
    <format dxfId="322">
      <pivotArea dataOnly="0" labelOnly="1" outline="0" fieldPosition="0">
        <references count="2">
          <reference field="0" count="1" selected="0">
            <x v="169"/>
          </reference>
          <reference field="1" count="1">
            <x v="169"/>
          </reference>
        </references>
      </pivotArea>
    </format>
    <format dxfId="321">
      <pivotArea dataOnly="0" labelOnly="1" outline="0" fieldPosition="0">
        <references count="2">
          <reference field="0" count="1" selected="0">
            <x v="170"/>
          </reference>
          <reference field="1" count="1">
            <x v="170"/>
          </reference>
        </references>
      </pivotArea>
    </format>
    <format dxfId="320">
      <pivotArea dataOnly="0" labelOnly="1" outline="0" fieldPosition="0">
        <references count="2">
          <reference field="0" count="1" selected="0">
            <x v="171"/>
          </reference>
          <reference field="1" count="1">
            <x v="171"/>
          </reference>
        </references>
      </pivotArea>
    </format>
    <format dxfId="319">
      <pivotArea dataOnly="0" labelOnly="1" outline="0" fieldPosition="0">
        <references count="2">
          <reference field="0" count="1" selected="0">
            <x v="172"/>
          </reference>
          <reference field="1" count="1">
            <x v="172"/>
          </reference>
        </references>
      </pivotArea>
    </format>
    <format dxfId="318">
      <pivotArea dataOnly="0" labelOnly="1" outline="0" fieldPosition="0">
        <references count="2">
          <reference field="0" count="1" selected="0">
            <x v="173"/>
          </reference>
          <reference field="1" count="1">
            <x v="173"/>
          </reference>
        </references>
      </pivotArea>
    </format>
    <format dxfId="317">
      <pivotArea dataOnly="0" labelOnly="1" outline="0" fieldPosition="0">
        <references count="2">
          <reference field="0" count="1" selected="0">
            <x v="174"/>
          </reference>
          <reference field="1" count="1">
            <x v="174"/>
          </reference>
        </references>
      </pivotArea>
    </format>
    <format dxfId="316">
      <pivotArea dataOnly="0" labelOnly="1" outline="0" fieldPosition="0">
        <references count="2">
          <reference field="0" count="1" selected="0">
            <x v="175"/>
          </reference>
          <reference field="1" count="1">
            <x v="175"/>
          </reference>
        </references>
      </pivotArea>
    </format>
    <format dxfId="315">
      <pivotArea dataOnly="0" labelOnly="1" outline="0" fieldPosition="0">
        <references count="2">
          <reference field="0" count="1" selected="0">
            <x v="176"/>
          </reference>
          <reference field="1" count="1">
            <x v="176"/>
          </reference>
        </references>
      </pivotArea>
    </format>
    <format dxfId="314">
      <pivotArea dataOnly="0" labelOnly="1" outline="0" fieldPosition="0">
        <references count="2">
          <reference field="0" count="1" selected="0">
            <x v="177"/>
          </reference>
          <reference field="1" count="1">
            <x v="177"/>
          </reference>
        </references>
      </pivotArea>
    </format>
    <format dxfId="313">
      <pivotArea dataOnly="0" labelOnly="1" outline="0" fieldPosition="0">
        <references count="2">
          <reference field="0" count="1" selected="0">
            <x v="178"/>
          </reference>
          <reference field="1" count="1">
            <x v="178"/>
          </reference>
        </references>
      </pivotArea>
    </format>
    <format dxfId="312">
      <pivotArea dataOnly="0" labelOnly="1" outline="0" fieldPosition="0">
        <references count="2">
          <reference field="0" count="1" selected="0">
            <x v="179"/>
          </reference>
          <reference field="1" count="1">
            <x v="179"/>
          </reference>
        </references>
      </pivotArea>
    </format>
    <format dxfId="311">
      <pivotArea dataOnly="0" labelOnly="1" outline="0" fieldPosition="0">
        <references count="2">
          <reference field="0" count="1" selected="0">
            <x v="180"/>
          </reference>
          <reference field="1" count="1">
            <x v="180"/>
          </reference>
        </references>
      </pivotArea>
    </format>
    <format dxfId="310">
      <pivotArea dataOnly="0" labelOnly="1" outline="0" fieldPosition="0">
        <references count="2">
          <reference field="0" count="1" selected="0">
            <x v="181"/>
          </reference>
          <reference field="1" count="1">
            <x v="181"/>
          </reference>
        </references>
      </pivotArea>
    </format>
    <format dxfId="309">
      <pivotArea dataOnly="0" labelOnly="1" outline="0" fieldPosition="0">
        <references count="2">
          <reference field="0" count="1" selected="0">
            <x v="182"/>
          </reference>
          <reference field="1" count="1">
            <x v="182"/>
          </reference>
        </references>
      </pivotArea>
    </format>
    <format dxfId="308">
      <pivotArea dataOnly="0" labelOnly="1" outline="0" fieldPosition="0">
        <references count="2">
          <reference field="0" count="1" selected="0">
            <x v="183"/>
          </reference>
          <reference field="1" count="1">
            <x v="183"/>
          </reference>
        </references>
      </pivotArea>
    </format>
    <format dxfId="307">
      <pivotArea dataOnly="0" labelOnly="1" outline="0" fieldPosition="0">
        <references count="2">
          <reference field="0" count="1" selected="0">
            <x v="184"/>
          </reference>
          <reference field="1" count="1">
            <x v="184"/>
          </reference>
        </references>
      </pivotArea>
    </format>
    <format dxfId="306">
      <pivotArea dataOnly="0" labelOnly="1" outline="0" fieldPosition="0">
        <references count="2">
          <reference field="0" count="1" selected="0">
            <x v="185"/>
          </reference>
          <reference field="1" count="1">
            <x v="185"/>
          </reference>
        </references>
      </pivotArea>
    </format>
    <format dxfId="305">
      <pivotArea dataOnly="0" labelOnly="1" outline="0" fieldPosition="0">
        <references count="2">
          <reference field="0" count="1" selected="0">
            <x v="186"/>
          </reference>
          <reference field="1" count="1">
            <x v="186"/>
          </reference>
        </references>
      </pivotArea>
    </format>
    <format dxfId="304">
      <pivotArea dataOnly="0" labelOnly="1" outline="0" fieldPosition="0">
        <references count="2">
          <reference field="0" count="1" selected="0">
            <x v="187"/>
          </reference>
          <reference field="1" count="1">
            <x v="187"/>
          </reference>
        </references>
      </pivotArea>
    </format>
    <format dxfId="303">
      <pivotArea dataOnly="0" labelOnly="1" outline="0" fieldPosition="0">
        <references count="2">
          <reference field="0" count="1" selected="0">
            <x v="188"/>
          </reference>
          <reference field="1" count="1">
            <x v="188"/>
          </reference>
        </references>
      </pivotArea>
    </format>
    <format dxfId="302">
      <pivotArea dataOnly="0" labelOnly="1" outline="0" fieldPosition="0">
        <references count="2">
          <reference field="0" count="1" selected="0">
            <x v="189"/>
          </reference>
          <reference field="1" count="1">
            <x v="189"/>
          </reference>
        </references>
      </pivotArea>
    </format>
    <format dxfId="301">
      <pivotArea dataOnly="0" labelOnly="1" outline="0" fieldPosition="0">
        <references count="2">
          <reference field="0" count="1" selected="0">
            <x v="190"/>
          </reference>
          <reference field="1" count="1">
            <x v="190"/>
          </reference>
        </references>
      </pivotArea>
    </format>
    <format dxfId="300">
      <pivotArea dataOnly="0" labelOnly="1" outline="0" fieldPosition="0">
        <references count="2">
          <reference field="0" count="1" selected="0">
            <x v="191"/>
          </reference>
          <reference field="1" count="1">
            <x v="191"/>
          </reference>
        </references>
      </pivotArea>
    </format>
    <format dxfId="299">
      <pivotArea dataOnly="0" labelOnly="1" outline="0" fieldPosition="0">
        <references count="2">
          <reference field="0" count="1" selected="0">
            <x v="192"/>
          </reference>
          <reference field="1" count="1">
            <x v="192"/>
          </reference>
        </references>
      </pivotArea>
    </format>
    <format dxfId="298">
      <pivotArea dataOnly="0" labelOnly="1" outline="0" fieldPosition="0">
        <references count="2">
          <reference field="0" count="1" selected="0">
            <x v="193"/>
          </reference>
          <reference field="1" count="1">
            <x v="193"/>
          </reference>
        </references>
      </pivotArea>
    </format>
    <format dxfId="297">
      <pivotArea dataOnly="0" labelOnly="1" outline="0" fieldPosition="0">
        <references count="2">
          <reference field="0" count="1" selected="0">
            <x v="194"/>
          </reference>
          <reference field="1" count="1">
            <x v="194"/>
          </reference>
        </references>
      </pivotArea>
    </format>
    <format dxfId="296">
      <pivotArea dataOnly="0" labelOnly="1" outline="0" fieldPosition="0">
        <references count="2">
          <reference field="0" count="1" selected="0">
            <x v="195"/>
          </reference>
          <reference field="1" count="1">
            <x v="195"/>
          </reference>
        </references>
      </pivotArea>
    </format>
    <format dxfId="295">
      <pivotArea dataOnly="0" labelOnly="1" outline="0" fieldPosition="0">
        <references count="2">
          <reference field="0" count="1" selected="0">
            <x v="196"/>
          </reference>
          <reference field="1" count="1">
            <x v="196"/>
          </reference>
        </references>
      </pivotArea>
    </format>
    <format dxfId="294">
      <pivotArea dataOnly="0" labelOnly="1" outline="0" fieldPosition="0">
        <references count="2">
          <reference field="0" count="1" selected="0">
            <x v="197"/>
          </reference>
          <reference field="1" count="1">
            <x v="197"/>
          </reference>
        </references>
      </pivotArea>
    </format>
    <format dxfId="293">
      <pivotArea dataOnly="0" labelOnly="1" outline="0" fieldPosition="0">
        <references count="2">
          <reference field="0" count="1" selected="0">
            <x v="198"/>
          </reference>
          <reference field="1" count="1">
            <x v="198"/>
          </reference>
        </references>
      </pivotArea>
    </format>
    <format dxfId="292">
      <pivotArea dataOnly="0" labelOnly="1" outline="0" fieldPosition="0">
        <references count="2">
          <reference field="0" count="1" selected="0">
            <x v="199"/>
          </reference>
          <reference field="1" count="1">
            <x v="199"/>
          </reference>
        </references>
      </pivotArea>
    </format>
    <format dxfId="291">
      <pivotArea dataOnly="0" labelOnly="1" outline="0" fieldPosition="0">
        <references count="2">
          <reference field="0" count="1" selected="0">
            <x v="200"/>
          </reference>
          <reference field="1" count="1">
            <x v="200"/>
          </reference>
        </references>
      </pivotArea>
    </format>
    <format dxfId="290">
      <pivotArea dataOnly="0" labelOnly="1" outline="0" fieldPosition="0">
        <references count="2">
          <reference field="0" count="1" selected="0">
            <x v="201"/>
          </reference>
          <reference field="1" count="1">
            <x v="201"/>
          </reference>
        </references>
      </pivotArea>
    </format>
    <format dxfId="289">
      <pivotArea dataOnly="0" labelOnly="1" outline="0" fieldPosition="0">
        <references count="2">
          <reference field="0" count="1" selected="0">
            <x v="202"/>
          </reference>
          <reference field="1" count="1">
            <x v="202"/>
          </reference>
        </references>
      </pivotArea>
    </format>
    <format dxfId="288">
      <pivotArea dataOnly="0" labelOnly="1" outline="0" fieldPosition="0">
        <references count="2">
          <reference field="0" count="1" selected="0">
            <x v="203"/>
          </reference>
          <reference field="1" count="1">
            <x v="203"/>
          </reference>
        </references>
      </pivotArea>
    </format>
    <format dxfId="287">
      <pivotArea dataOnly="0" labelOnly="1" outline="0" fieldPosition="0">
        <references count="2">
          <reference field="0" count="1" selected="0">
            <x v="204"/>
          </reference>
          <reference field="1" count="1">
            <x v="204"/>
          </reference>
        </references>
      </pivotArea>
    </format>
    <format dxfId="286">
      <pivotArea dataOnly="0" labelOnly="1" outline="0" fieldPosition="0">
        <references count="2">
          <reference field="0" count="1" selected="0">
            <x v="205"/>
          </reference>
          <reference field="1" count="1">
            <x v="205"/>
          </reference>
        </references>
      </pivotArea>
    </format>
    <format dxfId="285">
      <pivotArea dataOnly="0" labelOnly="1" outline="0" fieldPosition="0">
        <references count="2">
          <reference field="0" count="1" selected="0">
            <x v="206"/>
          </reference>
          <reference field="1" count="1">
            <x v="206"/>
          </reference>
        </references>
      </pivotArea>
    </format>
    <format dxfId="284">
      <pivotArea dataOnly="0" labelOnly="1" outline="0" fieldPosition="0">
        <references count="2">
          <reference field="0" count="1" selected="0">
            <x v="207"/>
          </reference>
          <reference field="1" count="1">
            <x v="207"/>
          </reference>
        </references>
      </pivotArea>
    </format>
    <format dxfId="283">
      <pivotArea dataOnly="0" labelOnly="1" outline="0" fieldPosition="0">
        <references count="2">
          <reference field="0" count="1" selected="0">
            <x v="208"/>
          </reference>
          <reference field="1" count="1">
            <x v="208"/>
          </reference>
        </references>
      </pivotArea>
    </format>
    <format dxfId="282">
      <pivotArea type="topRight" dataOnly="0" labelOnly="1" outline="0" fieldPosition="0"/>
    </format>
    <format dxfId="281">
      <pivotArea type="all" dataOnly="0" outline="0" fieldPosition="0"/>
    </format>
    <format dxfId="280">
      <pivotArea outline="0" collapsedLevelsAreSubtotals="1" fieldPosition="0"/>
    </format>
    <format dxfId="279">
      <pivotArea type="origin" dataOnly="0" labelOnly="1" outline="0" fieldPosition="0"/>
    </format>
    <format dxfId="278">
      <pivotArea field="0" type="button" dataOnly="0" labelOnly="1" outline="0" axis="axisRow" fieldPosition="0"/>
    </format>
    <format dxfId="277">
      <pivotArea field="1" type="button" dataOnly="0" labelOnly="1" outline="0" axis="axisRow" fieldPosition="1"/>
    </format>
    <format dxfId="276">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75">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274">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273">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272">
      <pivotArea dataOnly="0" labelOnly="1" outline="0" fieldPosition="0">
        <references count="1">
          <reference field="0" count="9">
            <x v="200"/>
            <x v="201"/>
            <x v="202"/>
            <x v="203"/>
            <x v="204"/>
            <x v="205"/>
            <x v="206"/>
            <x v="207"/>
            <x v="208"/>
          </reference>
        </references>
      </pivotArea>
    </format>
    <format dxfId="271">
      <pivotArea dataOnly="0" labelOnly="1" grandRow="1" outline="0" fieldPosition="0"/>
    </format>
    <format dxfId="270">
      <pivotArea dataOnly="0" labelOnly="1" outline="0" fieldPosition="0">
        <references count="2">
          <reference field="0" count="1" selected="0">
            <x v="0"/>
          </reference>
          <reference field="1" count="1">
            <x v="0"/>
          </reference>
        </references>
      </pivotArea>
    </format>
    <format dxfId="269">
      <pivotArea dataOnly="0" labelOnly="1" outline="0" fieldPosition="0">
        <references count="2">
          <reference field="0" count="1" selected="0">
            <x v="1"/>
          </reference>
          <reference field="1" count="1">
            <x v="1"/>
          </reference>
        </references>
      </pivotArea>
    </format>
    <format dxfId="268">
      <pivotArea dataOnly="0" labelOnly="1" outline="0" fieldPosition="0">
        <references count="2">
          <reference field="0" count="1" selected="0">
            <x v="2"/>
          </reference>
          <reference field="1" count="1">
            <x v="2"/>
          </reference>
        </references>
      </pivotArea>
    </format>
    <format dxfId="267">
      <pivotArea dataOnly="0" labelOnly="1" outline="0" fieldPosition="0">
        <references count="2">
          <reference field="0" count="1" selected="0">
            <x v="3"/>
          </reference>
          <reference field="1" count="1">
            <x v="3"/>
          </reference>
        </references>
      </pivotArea>
    </format>
    <format dxfId="266">
      <pivotArea dataOnly="0" labelOnly="1" outline="0" fieldPosition="0">
        <references count="2">
          <reference field="0" count="1" selected="0">
            <x v="4"/>
          </reference>
          <reference field="1" count="1">
            <x v="4"/>
          </reference>
        </references>
      </pivotArea>
    </format>
    <format dxfId="265">
      <pivotArea dataOnly="0" labelOnly="1" outline="0" fieldPosition="0">
        <references count="2">
          <reference field="0" count="1" selected="0">
            <x v="5"/>
          </reference>
          <reference field="1" count="1">
            <x v="5"/>
          </reference>
        </references>
      </pivotArea>
    </format>
    <format dxfId="264">
      <pivotArea dataOnly="0" labelOnly="1" outline="0" fieldPosition="0">
        <references count="2">
          <reference field="0" count="1" selected="0">
            <x v="6"/>
          </reference>
          <reference field="1" count="1">
            <x v="6"/>
          </reference>
        </references>
      </pivotArea>
    </format>
    <format dxfId="263">
      <pivotArea dataOnly="0" labelOnly="1" outline="0" fieldPosition="0">
        <references count="2">
          <reference field="0" count="1" selected="0">
            <x v="7"/>
          </reference>
          <reference field="1" count="1">
            <x v="7"/>
          </reference>
        </references>
      </pivotArea>
    </format>
    <format dxfId="262">
      <pivotArea dataOnly="0" labelOnly="1" outline="0" fieldPosition="0">
        <references count="2">
          <reference field="0" count="1" selected="0">
            <x v="8"/>
          </reference>
          <reference field="1" count="1">
            <x v="8"/>
          </reference>
        </references>
      </pivotArea>
    </format>
    <format dxfId="261">
      <pivotArea dataOnly="0" labelOnly="1" outline="0" fieldPosition="0">
        <references count="2">
          <reference field="0" count="1" selected="0">
            <x v="9"/>
          </reference>
          <reference field="1" count="1">
            <x v="9"/>
          </reference>
        </references>
      </pivotArea>
    </format>
    <format dxfId="260">
      <pivotArea dataOnly="0" labelOnly="1" outline="0" fieldPosition="0">
        <references count="2">
          <reference field="0" count="1" selected="0">
            <x v="10"/>
          </reference>
          <reference field="1" count="1">
            <x v="10"/>
          </reference>
        </references>
      </pivotArea>
    </format>
    <format dxfId="259">
      <pivotArea dataOnly="0" labelOnly="1" outline="0" fieldPosition="0">
        <references count="2">
          <reference field="0" count="1" selected="0">
            <x v="11"/>
          </reference>
          <reference field="1" count="1">
            <x v="11"/>
          </reference>
        </references>
      </pivotArea>
    </format>
    <format dxfId="258">
      <pivotArea dataOnly="0" labelOnly="1" outline="0" fieldPosition="0">
        <references count="2">
          <reference field="0" count="1" selected="0">
            <x v="12"/>
          </reference>
          <reference field="1" count="1">
            <x v="12"/>
          </reference>
        </references>
      </pivotArea>
    </format>
    <format dxfId="257">
      <pivotArea dataOnly="0" labelOnly="1" outline="0" fieldPosition="0">
        <references count="2">
          <reference field="0" count="1" selected="0">
            <x v="13"/>
          </reference>
          <reference field="1" count="1">
            <x v="13"/>
          </reference>
        </references>
      </pivotArea>
    </format>
    <format dxfId="256">
      <pivotArea dataOnly="0" labelOnly="1" outline="0" fieldPosition="0">
        <references count="2">
          <reference field="0" count="1" selected="0">
            <x v="14"/>
          </reference>
          <reference field="1" count="1">
            <x v="14"/>
          </reference>
        </references>
      </pivotArea>
    </format>
    <format dxfId="255">
      <pivotArea dataOnly="0" labelOnly="1" outline="0" fieldPosition="0">
        <references count="2">
          <reference field="0" count="1" selected="0">
            <x v="15"/>
          </reference>
          <reference field="1" count="1">
            <x v="15"/>
          </reference>
        </references>
      </pivotArea>
    </format>
    <format dxfId="254">
      <pivotArea dataOnly="0" labelOnly="1" outline="0" fieldPosition="0">
        <references count="2">
          <reference field="0" count="1" selected="0">
            <x v="16"/>
          </reference>
          <reference field="1" count="1">
            <x v="16"/>
          </reference>
        </references>
      </pivotArea>
    </format>
    <format dxfId="253">
      <pivotArea dataOnly="0" labelOnly="1" outline="0" fieldPosition="0">
        <references count="2">
          <reference field="0" count="1" selected="0">
            <x v="17"/>
          </reference>
          <reference field="1" count="1">
            <x v="17"/>
          </reference>
        </references>
      </pivotArea>
    </format>
    <format dxfId="252">
      <pivotArea dataOnly="0" labelOnly="1" outline="0" fieldPosition="0">
        <references count="2">
          <reference field="0" count="1" selected="0">
            <x v="18"/>
          </reference>
          <reference field="1" count="1">
            <x v="18"/>
          </reference>
        </references>
      </pivotArea>
    </format>
    <format dxfId="251">
      <pivotArea dataOnly="0" labelOnly="1" outline="0" fieldPosition="0">
        <references count="2">
          <reference field="0" count="1" selected="0">
            <x v="19"/>
          </reference>
          <reference field="1" count="1">
            <x v="19"/>
          </reference>
        </references>
      </pivotArea>
    </format>
    <format dxfId="250">
      <pivotArea dataOnly="0" labelOnly="1" outline="0" fieldPosition="0">
        <references count="2">
          <reference field="0" count="1" selected="0">
            <x v="20"/>
          </reference>
          <reference field="1" count="1">
            <x v="20"/>
          </reference>
        </references>
      </pivotArea>
    </format>
    <format dxfId="249">
      <pivotArea dataOnly="0" labelOnly="1" outline="0" fieldPosition="0">
        <references count="2">
          <reference field="0" count="1" selected="0">
            <x v="21"/>
          </reference>
          <reference field="1" count="1">
            <x v="21"/>
          </reference>
        </references>
      </pivotArea>
    </format>
    <format dxfId="248">
      <pivotArea dataOnly="0" labelOnly="1" outline="0" fieldPosition="0">
        <references count="2">
          <reference field="0" count="1" selected="0">
            <x v="22"/>
          </reference>
          <reference field="1" count="1">
            <x v="22"/>
          </reference>
        </references>
      </pivotArea>
    </format>
    <format dxfId="247">
      <pivotArea dataOnly="0" labelOnly="1" outline="0" fieldPosition="0">
        <references count="2">
          <reference field="0" count="1" selected="0">
            <x v="23"/>
          </reference>
          <reference field="1" count="1">
            <x v="23"/>
          </reference>
        </references>
      </pivotArea>
    </format>
    <format dxfId="246">
      <pivotArea dataOnly="0" labelOnly="1" outline="0" fieldPosition="0">
        <references count="2">
          <reference field="0" count="1" selected="0">
            <x v="24"/>
          </reference>
          <reference field="1" count="1">
            <x v="24"/>
          </reference>
        </references>
      </pivotArea>
    </format>
    <format dxfId="245">
      <pivotArea dataOnly="0" labelOnly="1" outline="0" fieldPosition="0">
        <references count="2">
          <reference field="0" count="1" selected="0">
            <x v="25"/>
          </reference>
          <reference field="1" count="1">
            <x v="25"/>
          </reference>
        </references>
      </pivotArea>
    </format>
    <format dxfId="244">
      <pivotArea dataOnly="0" labelOnly="1" outline="0" fieldPosition="0">
        <references count="2">
          <reference field="0" count="1" selected="0">
            <x v="26"/>
          </reference>
          <reference field="1" count="1">
            <x v="26"/>
          </reference>
        </references>
      </pivotArea>
    </format>
    <format dxfId="243">
      <pivotArea dataOnly="0" labelOnly="1" outline="0" fieldPosition="0">
        <references count="2">
          <reference field="0" count="1" selected="0">
            <x v="27"/>
          </reference>
          <reference field="1" count="1">
            <x v="27"/>
          </reference>
        </references>
      </pivotArea>
    </format>
    <format dxfId="242">
      <pivotArea dataOnly="0" labelOnly="1" outline="0" fieldPosition="0">
        <references count="2">
          <reference field="0" count="1" selected="0">
            <x v="28"/>
          </reference>
          <reference field="1" count="1">
            <x v="28"/>
          </reference>
        </references>
      </pivotArea>
    </format>
    <format dxfId="241">
      <pivotArea dataOnly="0" labelOnly="1" outline="0" fieldPosition="0">
        <references count="2">
          <reference field="0" count="1" selected="0">
            <x v="29"/>
          </reference>
          <reference field="1" count="1">
            <x v="29"/>
          </reference>
        </references>
      </pivotArea>
    </format>
    <format dxfId="240">
      <pivotArea dataOnly="0" labelOnly="1" outline="0" fieldPosition="0">
        <references count="2">
          <reference field="0" count="1" selected="0">
            <x v="30"/>
          </reference>
          <reference field="1" count="1">
            <x v="30"/>
          </reference>
        </references>
      </pivotArea>
    </format>
    <format dxfId="239">
      <pivotArea dataOnly="0" labelOnly="1" outline="0" fieldPosition="0">
        <references count="2">
          <reference field="0" count="1" selected="0">
            <x v="31"/>
          </reference>
          <reference field="1" count="1">
            <x v="31"/>
          </reference>
        </references>
      </pivotArea>
    </format>
    <format dxfId="238">
      <pivotArea dataOnly="0" labelOnly="1" outline="0" fieldPosition="0">
        <references count="2">
          <reference field="0" count="1" selected="0">
            <x v="32"/>
          </reference>
          <reference field="1" count="1">
            <x v="32"/>
          </reference>
        </references>
      </pivotArea>
    </format>
    <format dxfId="237">
      <pivotArea dataOnly="0" labelOnly="1" outline="0" fieldPosition="0">
        <references count="2">
          <reference field="0" count="1" selected="0">
            <x v="33"/>
          </reference>
          <reference field="1" count="1">
            <x v="33"/>
          </reference>
        </references>
      </pivotArea>
    </format>
    <format dxfId="236">
      <pivotArea dataOnly="0" labelOnly="1" outline="0" fieldPosition="0">
        <references count="2">
          <reference field="0" count="1" selected="0">
            <x v="34"/>
          </reference>
          <reference field="1" count="1">
            <x v="34"/>
          </reference>
        </references>
      </pivotArea>
    </format>
    <format dxfId="235">
      <pivotArea dataOnly="0" labelOnly="1" outline="0" fieldPosition="0">
        <references count="2">
          <reference field="0" count="1" selected="0">
            <x v="35"/>
          </reference>
          <reference field="1" count="1">
            <x v="35"/>
          </reference>
        </references>
      </pivotArea>
    </format>
    <format dxfId="234">
      <pivotArea dataOnly="0" labelOnly="1" outline="0" fieldPosition="0">
        <references count="2">
          <reference field="0" count="1" selected="0">
            <x v="36"/>
          </reference>
          <reference field="1" count="1">
            <x v="36"/>
          </reference>
        </references>
      </pivotArea>
    </format>
    <format dxfId="233">
      <pivotArea dataOnly="0" labelOnly="1" outline="0" fieldPosition="0">
        <references count="2">
          <reference field="0" count="1" selected="0">
            <x v="37"/>
          </reference>
          <reference field="1" count="1">
            <x v="37"/>
          </reference>
        </references>
      </pivotArea>
    </format>
    <format dxfId="232">
      <pivotArea dataOnly="0" labelOnly="1" outline="0" fieldPosition="0">
        <references count="2">
          <reference field="0" count="1" selected="0">
            <x v="38"/>
          </reference>
          <reference field="1" count="1">
            <x v="38"/>
          </reference>
        </references>
      </pivotArea>
    </format>
    <format dxfId="231">
      <pivotArea dataOnly="0" labelOnly="1" outline="0" fieldPosition="0">
        <references count="2">
          <reference field="0" count="1" selected="0">
            <x v="39"/>
          </reference>
          <reference field="1" count="1">
            <x v="39"/>
          </reference>
        </references>
      </pivotArea>
    </format>
    <format dxfId="230">
      <pivotArea dataOnly="0" labelOnly="1" outline="0" fieldPosition="0">
        <references count="2">
          <reference field="0" count="1" selected="0">
            <x v="40"/>
          </reference>
          <reference field="1" count="1">
            <x v="40"/>
          </reference>
        </references>
      </pivotArea>
    </format>
    <format dxfId="229">
      <pivotArea dataOnly="0" labelOnly="1" outline="0" fieldPosition="0">
        <references count="2">
          <reference field="0" count="1" selected="0">
            <x v="41"/>
          </reference>
          <reference field="1" count="1">
            <x v="41"/>
          </reference>
        </references>
      </pivotArea>
    </format>
    <format dxfId="228">
      <pivotArea dataOnly="0" labelOnly="1" outline="0" fieldPosition="0">
        <references count="2">
          <reference field="0" count="1" selected="0">
            <x v="42"/>
          </reference>
          <reference field="1" count="1">
            <x v="42"/>
          </reference>
        </references>
      </pivotArea>
    </format>
    <format dxfId="227">
      <pivotArea dataOnly="0" labelOnly="1" outline="0" fieldPosition="0">
        <references count="2">
          <reference field="0" count="1" selected="0">
            <x v="43"/>
          </reference>
          <reference field="1" count="1">
            <x v="43"/>
          </reference>
        </references>
      </pivotArea>
    </format>
    <format dxfId="226">
      <pivotArea dataOnly="0" labelOnly="1" outline="0" fieldPosition="0">
        <references count="2">
          <reference field="0" count="1" selected="0">
            <x v="44"/>
          </reference>
          <reference field="1" count="1">
            <x v="44"/>
          </reference>
        </references>
      </pivotArea>
    </format>
    <format dxfId="225">
      <pivotArea dataOnly="0" labelOnly="1" outline="0" fieldPosition="0">
        <references count="2">
          <reference field="0" count="1" selected="0">
            <x v="45"/>
          </reference>
          <reference field="1" count="1">
            <x v="45"/>
          </reference>
        </references>
      </pivotArea>
    </format>
    <format dxfId="224">
      <pivotArea dataOnly="0" labelOnly="1" outline="0" fieldPosition="0">
        <references count="2">
          <reference field="0" count="1" selected="0">
            <x v="46"/>
          </reference>
          <reference field="1" count="1">
            <x v="46"/>
          </reference>
        </references>
      </pivotArea>
    </format>
    <format dxfId="223">
      <pivotArea dataOnly="0" labelOnly="1" outline="0" fieldPosition="0">
        <references count="2">
          <reference field="0" count="1" selected="0">
            <x v="47"/>
          </reference>
          <reference field="1" count="1">
            <x v="47"/>
          </reference>
        </references>
      </pivotArea>
    </format>
    <format dxfId="222">
      <pivotArea dataOnly="0" labelOnly="1" outline="0" fieldPosition="0">
        <references count="2">
          <reference field="0" count="1" selected="0">
            <x v="48"/>
          </reference>
          <reference field="1" count="1">
            <x v="48"/>
          </reference>
        </references>
      </pivotArea>
    </format>
    <format dxfId="221">
      <pivotArea dataOnly="0" labelOnly="1" outline="0" fieldPosition="0">
        <references count="2">
          <reference field="0" count="1" selected="0">
            <x v="49"/>
          </reference>
          <reference field="1" count="1">
            <x v="49"/>
          </reference>
        </references>
      </pivotArea>
    </format>
    <format dxfId="220">
      <pivotArea dataOnly="0" labelOnly="1" outline="0" fieldPosition="0">
        <references count="2">
          <reference field="0" count="1" selected="0">
            <x v="50"/>
          </reference>
          <reference field="1" count="1">
            <x v="50"/>
          </reference>
        </references>
      </pivotArea>
    </format>
    <format dxfId="219">
      <pivotArea dataOnly="0" labelOnly="1" outline="0" fieldPosition="0">
        <references count="2">
          <reference field="0" count="1" selected="0">
            <x v="51"/>
          </reference>
          <reference field="1" count="1">
            <x v="51"/>
          </reference>
        </references>
      </pivotArea>
    </format>
    <format dxfId="218">
      <pivotArea dataOnly="0" labelOnly="1" outline="0" fieldPosition="0">
        <references count="2">
          <reference field="0" count="1" selected="0">
            <x v="52"/>
          </reference>
          <reference field="1" count="1">
            <x v="52"/>
          </reference>
        </references>
      </pivotArea>
    </format>
    <format dxfId="217">
      <pivotArea dataOnly="0" labelOnly="1" outline="0" fieldPosition="0">
        <references count="2">
          <reference field="0" count="1" selected="0">
            <x v="53"/>
          </reference>
          <reference field="1" count="1">
            <x v="53"/>
          </reference>
        </references>
      </pivotArea>
    </format>
    <format dxfId="216">
      <pivotArea dataOnly="0" labelOnly="1" outline="0" fieldPosition="0">
        <references count="2">
          <reference field="0" count="1" selected="0">
            <x v="54"/>
          </reference>
          <reference field="1" count="1">
            <x v="54"/>
          </reference>
        </references>
      </pivotArea>
    </format>
    <format dxfId="215">
      <pivotArea dataOnly="0" labelOnly="1" outline="0" fieldPosition="0">
        <references count="2">
          <reference field="0" count="1" selected="0">
            <x v="55"/>
          </reference>
          <reference field="1" count="1">
            <x v="55"/>
          </reference>
        </references>
      </pivotArea>
    </format>
    <format dxfId="214">
      <pivotArea dataOnly="0" labelOnly="1" outline="0" fieldPosition="0">
        <references count="2">
          <reference field="0" count="1" selected="0">
            <x v="56"/>
          </reference>
          <reference field="1" count="1">
            <x v="56"/>
          </reference>
        </references>
      </pivotArea>
    </format>
    <format dxfId="213">
      <pivotArea dataOnly="0" labelOnly="1" outline="0" fieldPosition="0">
        <references count="2">
          <reference field="0" count="1" selected="0">
            <x v="57"/>
          </reference>
          <reference field="1" count="1">
            <x v="57"/>
          </reference>
        </references>
      </pivotArea>
    </format>
    <format dxfId="212">
      <pivotArea dataOnly="0" labelOnly="1" outline="0" fieldPosition="0">
        <references count="2">
          <reference field="0" count="1" selected="0">
            <x v="58"/>
          </reference>
          <reference field="1" count="1">
            <x v="58"/>
          </reference>
        </references>
      </pivotArea>
    </format>
    <format dxfId="211">
      <pivotArea dataOnly="0" labelOnly="1" outline="0" fieldPosition="0">
        <references count="2">
          <reference field="0" count="1" selected="0">
            <x v="59"/>
          </reference>
          <reference field="1" count="1">
            <x v="59"/>
          </reference>
        </references>
      </pivotArea>
    </format>
    <format dxfId="210">
      <pivotArea dataOnly="0" labelOnly="1" outline="0" fieldPosition="0">
        <references count="2">
          <reference field="0" count="1" selected="0">
            <x v="60"/>
          </reference>
          <reference field="1" count="1">
            <x v="60"/>
          </reference>
        </references>
      </pivotArea>
    </format>
    <format dxfId="209">
      <pivotArea dataOnly="0" labelOnly="1" outline="0" fieldPosition="0">
        <references count="2">
          <reference field="0" count="1" selected="0">
            <x v="61"/>
          </reference>
          <reference field="1" count="1">
            <x v="61"/>
          </reference>
        </references>
      </pivotArea>
    </format>
    <format dxfId="208">
      <pivotArea dataOnly="0" labelOnly="1" outline="0" fieldPosition="0">
        <references count="2">
          <reference field="0" count="1" selected="0">
            <x v="62"/>
          </reference>
          <reference field="1" count="1">
            <x v="62"/>
          </reference>
        </references>
      </pivotArea>
    </format>
    <format dxfId="207">
      <pivotArea dataOnly="0" labelOnly="1" outline="0" fieldPosition="0">
        <references count="2">
          <reference field="0" count="1" selected="0">
            <x v="63"/>
          </reference>
          <reference field="1" count="1">
            <x v="63"/>
          </reference>
        </references>
      </pivotArea>
    </format>
    <format dxfId="206">
      <pivotArea dataOnly="0" labelOnly="1" outline="0" fieldPosition="0">
        <references count="2">
          <reference field="0" count="1" selected="0">
            <x v="64"/>
          </reference>
          <reference field="1" count="1">
            <x v="64"/>
          </reference>
        </references>
      </pivotArea>
    </format>
    <format dxfId="205">
      <pivotArea dataOnly="0" labelOnly="1" outline="0" fieldPosition="0">
        <references count="2">
          <reference field="0" count="1" selected="0">
            <x v="65"/>
          </reference>
          <reference field="1" count="1">
            <x v="65"/>
          </reference>
        </references>
      </pivotArea>
    </format>
    <format dxfId="204">
      <pivotArea dataOnly="0" labelOnly="1" outline="0" fieldPosition="0">
        <references count="2">
          <reference field="0" count="1" selected="0">
            <x v="66"/>
          </reference>
          <reference field="1" count="1">
            <x v="66"/>
          </reference>
        </references>
      </pivotArea>
    </format>
    <format dxfId="203">
      <pivotArea dataOnly="0" labelOnly="1" outline="0" fieldPosition="0">
        <references count="2">
          <reference field="0" count="1" selected="0">
            <x v="67"/>
          </reference>
          <reference field="1" count="1">
            <x v="67"/>
          </reference>
        </references>
      </pivotArea>
    </format>
    <format dxfId="202">
      <pivotArea dataOnly="0" labelOnly="1" outline="0" fieldPosition="0">
        <references count="2">
          <reference field="0" count="1" selected="0">
            <x v="68"/>
          </reference>
          <reference field="1" count="1">
            <x v="68"/>
          </reference>
        </references>
      </pivotArea>
    </format>
    <format dxfId="201">
      <pivotArea dataOnly="0" labelOnly="1" outline="0" fieldPosition="0">
        <references count="2">
          <reference field="0" count="1" selected="0">
            <x v="69"/>
          </reference>
          <reference field="1" count="1">
            <x v="69"/>
          </reference>
        </references>
      </pivotArea>
    </format>
    <format dxfId="200">
      <pivotArea dataOnly="0" labelOnly="1" outline="0" fieldPosition="0">
        <references count="2">
          <reference field="0" count="1" selected="0">
            <x v="70"/>
          </reference>
          <reference field="1" count="1">
            <x v="70"/>
          </reference>
        </references>
      </pivotArea>
    </format>
    <format dxfId="199">
      <pivotArea dataOnly="0" labelOnly="1" outline="0" fieldPosition="0">
        <references count="2">
          <reference field="0" count="1" selected="0">
            <x v="71"/>
          </reference>
          <reference field="1" count="1">
            <x v="71"/>
          </reference>
        </references>
      </pivotArea>
    </format>
    <format dxfId="198">
      <pivotArea dataOnly="0" labelOnly="1" outline="0" fieldPosition="0">
        <references count="2">
          <reference field="0" count="1" selected="0">
            <x v="72"/>
          </reference>
          <reference field="1" count="1">
            <x v="72"/>
          </reference>
        </references>
      </pivotArea>
    </format>
    <format dxfId="197">
      <pivotArea dataOnly="0" labelOnly="1" outline="0" fieldPosition="0">
        <references count="2">
          <reference field="0" count="1" selected="0">
            <x v="73"/>
          </reference>
          <reference field="1" count="1">
            <x v="73"/>
          </reference>
        </references>
      </pivotArea>
    </format>
    <format dxfId="196">
      <pivotArea dataOnly="0" labelOnly="1" outline="0" fieldPosition="0">
        <references count="2">
          <reference field="0" count="1" selected="0">
            <x v="74"/>
          </reference>
          <reference field="1" count="1">
            <x v="74"/>
          </reference>
        </references>
      </pivotArea>
    </format>
    <format dxfId="195">
      <pivotArea dataOnly="0" labelOnly="1" outline="0" fieldPosition="0">
        <references count="2">
          <reference field="0" count="1" selected="0">
            <x v="75"/>
          </reference>
          <reference field="1" count="1">
            <x v="75"/>
          </reference>
        </references>
      </pivotArea>
    </format>
    <format dxfId="194">
      <pivotArea dataOnly="0" labelOnly="1" outline="0" fieldPosition="0">
        <references count="2">
          <reference field="0" count="1" selected="0">
            <x v="76"/>
          </reference>
          <reference field="1" count="1">
            <x v="76"/>
          </reference>
        </references>
      </pivotArea>
    </format>
    <format dxfId="193">
      <pivotArea dataOnly="0" labelOnly="1" outline="0" fieldPosition="0">
        <references count="2">
          <reference field="0" count="1" selected="0">
            <x v="77"/>
          </reference>
          <reference field="1" count="1">
            <x v="77"/>
          </reference>
        </references>
      </pivotArea>
    </format>
    <format dxfId="192">
      <pivotArea dataOnly="0" labelOnly="1" outline="0" fieldPosition="0">
        <references count="2">
          <reference field="0" count="1" selected="0">
            <x v="78"/>
          </reference>
          <reference field="1" count="1">
            <x v="78"/>
          </reference>
        </references>
      </pivotArea>
    </format>
    <format dxfId="191">
      <pivotArea dataOnly="0" labelOnly="1" outline="0" fieldPosition="0">
        <references count="2">
          <reference field="0" count="1" selected="0">
            <x v="79"/>
          </reference>
          <reference field="1" count="1">
            <x v="79"/>
          </reference>
        </references>
      </pivotArea>
    </format>
    <format dxfId="190">
      <pivotArea dataOnly="0" labelOnly="1" outline="0" fieldPosition="0">
        <references count="2">
          <reference field="0" count="1" selected="0">
            <x v="80"/>
          </reference>
          <reference field="1" count="1">
            <x v="80"/>
          </reference>
        </references>
      </pivotArea>
    </format>
    <format dxfId="189">
      <pivotArea dataOnly="0" labelOnly="1" outline="0" fieldPosition="0">
        <references count="2">
          <reference field="0" count="1" selected="0">
            <x v="81"/>
          </reference>
          <reference field="1" count="1">
            <x v="81"/>
          </reference>
        </references>
      </pivotArea>
    </format>
    <format dxfId="188">
      <pivotArea dataOnly="0" labelOnly="1" outline="0" fieldPosition="0">
        <references count="2">
          <reference field="0" count="1" selected="0">
            <x v="82"/>
          </reference>
          <reference field="1" count="1">
            <x v="82"/>
          </reference>
        </references>
      </pivotArea>
    </format>
    <format dxfId="187">
      <pivotArea dataOnly="0" labelOnly="1" outline="0" fieldPosition="0">
        <references count="2">
          <reference field="0" count="1" selected="0">
            <x v="83"/>
          </reference>
          <reference field="1" count="1">
            <x v="83"/>
          </reference>
        </references>
      </pivotArea>
    </format>
    <format dxfId="186">
      <pivotArea dataOnly="0" labelOnly="1" outline="0" fieldPosition="0">
        <references count="2">
          <reference field="0" count="1" selected="0">
            <x v="84"/>
          </reference>
          <reference field="1" count="1">
            <x v="84"/>
          </reference>
        </references>
      </pivotArea>
    </format>
    <format dxfId="185">
      <pivotArea dataOnly="0" labelOnly="1" outline="0" fieldPosition="0">
        <references count="2">
          <reference field="0" count="1" selected="0">
            <x v="85"/>
          </reference>
          <reference field="1" count="1">
            <x v="85"/>
          </reference>
        </references>
      </pivotArea>
    </format>
    <format dxfId="184">
      <pivotArea dataOnly="0" labelOnly="1" outline="0" fieldPosition="0">
        <references count="2">
          <reference field="0" count="1" selected="0">
            <x v="86"/>
          </reference>
          <reference field="1" count="1">
            <x v="86"/>
          </reference>
        </references>
      </pivotArea>
    </format>
    <format dxfId="183">
      <pivotArea dataOnly="0" labelOnly="1" outline="0" fieldPosition="0">
        <references count="2">
          <reference field="0" count="1" selected="0">
            <x v="87"/>
          </reference>
          <reference field="1" count="1">
            <x v="87"/>
          </reference>
        </references>
      </pivotArea>
    </format>
    <format dxfId="182">
      <pivotArea dataOnly="0" labelOnly="1" outline="0" fieldPosition="0">
        <references count="2">
          <reference field="0" count="1" selected="0">
            <x v="88"/>
          </reference>
          <reference field="1" count="1">
            <x v="88"/>
          </reference>
        </references>
      </pivotArea>
    </format>
    <format dxfId="181">
      <pivotArea dataOnly="0" labelOnly="1" outline="0" fieldPosition="0">
        <references count="2">
          <reference field="0" count="1" selected="0">
            <x v="89"/>
          </reference>
          <reference field="1" count="1">
            <x v="89"/>
          </reference>
        </references>
      </pivotArea>
    </format>
    <format dxfId="180">
      <pivotArea dataOnly="0" labelOnly="1" outline="0" fieldPosition="0">
        <references count="2">
          <reference field="0" count="1" selected="0">
            <x v="90"/>
          </reference>
          <reference field="1" count="1">
            <x v="90"/>
          </reference>
        </references>
      </pivotArea>
    </format>
    <format dxfId="179">
      <pivotArea dataOnly="0" labelOnly="1" outline="0" fieldPosition="0">
        <references count="2">
          <reference field="0" count="1" selected="0">
            <x v="91"/>
          </reference>
          <reference field="1" count="1">
            <x v="91"/>
          </reference>
        </references>
      </pivotArea>
    </format>
    <format dxfId="178">
      <pivotArea dataOnly="0" labelOnly="1" outline="0" fieldPosition="0">
        <references count="2">
          <reference field="0" count="1" selected="0">
            <x v="92"/>
          </reference>
          <reference field="1" count="1">
            <x v="92"/>
          </reference>
        </references>
      </pivotArea>
    </format>
    <format dxfId="177">
      <pivotArea dataOnly="0" labelOnly="1" outline="0" fieldPosition="0">
        <references count="2">
          <reference field="0" count="1" selected="0">
            <x v="93"/>
          </reference>
          <reference field="1" count="1">
            <x v="93"/>
          </reference>
        </references>
      </pivotArea>
    </format>
    <format dxfId="176">
      <pivotArea dataOnly="0" labelOnly="1" outline="0" fieldPosition="0">
        <references count="2">
          <reference field="0" count="1" selected="0">
            <x v="94"/>
          </reference>
          <reference field="1" count="1">
            <x v="94"/>
          </reference>
        </references>
      </pivotArea>
    </format>
    <format dxfId="175">
      <pivotArea dataOnly="0" labelOnly="1" outline="0" fieldPosition="0">
        <references count="2">
          <reference field="0" count="1" selected="0">
            <x v="95"/>
          </reference>
          <reference field="1" count="1">
            <x v="95"/>
          </reference>
        </references>
      </pivotArea>
    </format>
    <format dxfId="174">
      <pivotArea dataOnly="0" labelOnly="1" outline="0" fieldPosition="0">
        <references count="2">
          <reference field="0" count="1" selected="0">
            <x v="96"/>
          </reference>
          <reference field="1" count="1">
            <x v="96"/>
          </reference>
        </references>
      </pivotArea>
    </format>
    <format dxfId="173">
      <pivotArea dataOnly="0" labelOnly="1" outline="0" fieldPosition="0">
        <references count="2">
          <reference field="0" count="1" selected="0">
            <x v="97"/>
          </reference>
          <reference field="1" count="1">
            <x v="97"/>
          </reference>
        </references>
      </pivotArea>
    </format>
    <format dxfId="172">
      <pivotArea dataOnly="0" labelOnly="1" outline="0" fieldPosition="0">
        <references count="2">
          <reference field="0" count="1" selected="0">
            <x v="98"/>
          </reference>
          <reference field="1" count="1">
            <x v="98"/>
          </reference>
        </references>
      </pivotArea>
    </format>
    <format dxfId="171">
      <pivotArea dataOnly="0" labelOnly="1" outline="0" fieldPosition="0">
        <references count="2">
          <reference field="0" count="1" selected="0">
            <x v="99"/>
          </reference>
          <reference field="1" count="1">
            <x v="99"/>
          </reference>
        </references>
      </pivotArea>
    </format>
    <format dxfId="170">
      <pivotArea dataOnly="0" labelOnly="1" outline="0" fieldPosition="0">
        <references count="2">
          <reference field="0" count="1" selected="0">
            <x v="100"/>
          </reference>
          <reference field="1" count="1">
            <x v="100"/>
          </reference>
        </references>
      </pivotArea>
    </format>
    <format dxfId="169">
      <pivotArea dataOnly="0" labelOnly="1" outline="0" fieldPosition="0">
        <references count="2">
          <reference field="0" count="1" selected="0">
            <x v="101"/>
          </reference>
          <reference field="1" count="1">
            <x v="101"/>
          </reference>
        </references>
      </pivotArea>
    </format>
    <format dxfId="168">
      <pivotArea dataOnly="0" labelOnly="1" outline="0" fieldPosition="0">
        <references count="2">
          <reference field="0" count="1" selected="0">
            <x v="102"/>
          </reference>
          <reference field="1" count="1">
            <x v="102"/>
          </reference>
        </references>
      </pivotArea>
    </format>
    <format dxfId="167">
      <pivotArea dataOnly="0" labelOnly="1" outline="0" fieldPosition="0">
        <references count="2">
          <reference field="0" count="1" selected="0">
            <x v="103"/>
          </reference>
          <reference field="1" count="1">
            <x v="103"/>
          </reference>
        </references>
      </pivotArea>
    </format>
    <format dxfId="166">
      <pivotArea dataOnly="0" labelOnly="1" outline="0" fieldPosition="0">
        <references count="2">
          <reference field="0" count="1" selected="0">
            <x v="104"/>
          </reference>
          <reference field="1" count="1">
            <x v="104"/>
          </reference>
        </references>
      </pivotArea>
    </format>
    <format dxfId="165">
      <pivotArea dataOnly="0" labelOnly="1" outline="0" fieldPosition="0">
        <references count="2">
          <reference field="0" count="1" selected="0">
            <x v="105"/>
          </reference>
          <reference field="1" count="1">
            <x v="105"/>
          </reference>
        </references>
      </pivotArea>
    </format>
    <format dxfId="164">
      <pivotArea dataOnly="0" labelOnly="1" outline="0" fieldPosition="0">
        <references count="2">
          <reference field="0" count="1" selected="0">
            <x v="106"/>
          </reference>
          <reference field="1" count="1">
            <x v="106"/>
          </reference>
        </references>
      </pivotArea>
    </format>
    <format dxfId="163">
      <pivotArea dataOnly="0" labelOnly="1" outline="0" fieldPosition="0">
        <references count="2">
          <reference field="0" count="1" selected="0">
            <x v="107"/>
          </reference>
          <reference field="1" count="1">
            <x v="107"/>
          </reference>
        </references>
      </pivotArea>
    </format>
    <format dxfId="162">
      <pivotArea dataOnly="0" labelOnly="1" outline="0" fieldPosition="0">
        <references count="2">
          <reference field="0" count="1" selected="0">
            <x v="108"/>
          </reference>
          <reference field="1" count="1">
            <x v="108"/>
          </reference>
        </references>
      </pivotArea>
    </format>
    <format dxfId="161">
      <pivotArea dataOnly="0" labelOnly="1" outline="0" fieldPosition="0">
        <references count="2">
          <reference field="0" count="1" selected="0">
            <x v="109"/>
          </reference>
          <reference field="1" count="1">
            <x v="109"/>
          </reference>
        </references>
      </pivotArea>
    </format>
    <format dxfId="160">
      <pivotArea dataOnly="0" labelOnly="1" outline="0" fieldPosition="0">
        <references count="2">
          <reference field="0" count="1" selected="0">
            <x v="110"/>
          </reference>
          <reference field="1" count="1">
            <x v="110"/>
          </reference>
        </references>
      </pivotArea>
    </format>
    <format dxfId="159">
      <pivotArea dataOnly="0" labelOnly="1" outline="0" fieldPosition="0">
        <references count="2">
          <reference field="0" count="1" selected="0">
            <x v="111"/>
          </reference>
          <reference field="1" count="1">
            <x v="111"/>
          </reference>
        </references>
      </pivotArea>
    </format>
    <format dxfId="158">
      <pivotArea dataOnly="0" labelOnly="1" outline="0" fieldPosition="0">
        <references count="2">
          <reference field="0" count="1" selected="0">
            <x v="112"/>
          </reference>
          <reference field="1" count="1">
            <x v="112"/>
          </reference>
        </references>
      </pivotArea>
    </format>
    <format dxfId="157">
      <pivotArea dataOnly="0" labelOnly="1" outline="0" fieldPosition="0">
        <references count="2">
          <reference field="0" count="1" selected="0">
            <x v="113"/>
          </reference>
          <reference field="1" count="1">
            <x v="113"/>
          </reference>
        </references>
      </pivotArea>
    </format>
    <format dxfId="156">
      <pivotArea dataOnly="0" labelOnly="1" outline="0" fieldPosition="0">
        <references count="2">
          <reference field="0" count="1" selected="0">
            <x v="114"/>
          </reference>
          <reference field="1" count="1">
            <x v="114"/>
          </reference>
        </references>
      </pivotArea>
    </format>
    <format dxfId="155">
      <pivotArea dataOnly="0" labelOnly="1" outline="0" fieldPosition="0">
        <references count="2">
          <reference field="0" count="1" selected="0">
            <x v="115"/>
          </reference>
          <reference field="1" count="1">
            <x v="115"/>
          </reference>
        </references>
      </pivotArea>
    </format>
    <format dxfId="154">
      <pivotArea dataOnly="0" labelOnly="1" outline="0" fieldPosition="0">
        <references count="2">
          <reference field="0" count="1" selected="0">
            <x v="116"/>
          </reference>
          <reference field="1" count="1">
            <x v="116"/>
          </reference>
        </references>
      </pivotArea>
    </format>
    <format dxfId="153">
      <pivotArea dataOnly="0" labelOnly="1" outline="0" fieldPosition="0">
        <references count="2">
          <reference field="0" count="1" selected="0">
            <x v="117"/>
          </reference>
          <reference field="1" count="1">
            <x v="117"/>
          </reference>
        </references>
      </pivotArea>
    </format>
    <format dxfId="152">
      <pivotArea dataOnly="0" labelOnly="1" outline="0" fieldPosition="0">
        <references count="2">
          <reference field="0" count="1" selected="0">
            <x v="118"/>
          </reference>
          <reference field="1" count="1">
            <x v="118"/>
          </reference>
        </references>
      </pivotArea>
    </format>
    <format dxfId="151">
      <pivotArea dataOnly="0" labelOnly="1" outline="0" fieldPosition="0">
        <references count="2">
          <reference field="0" count="1" selected="0">
            <x v="119"/>
          </reference>
          <reference field="1" count="1">
            <x v="119"/>
          </reference>
        </references>
      </pivotArea>
    </format>
    <format dxfId="150">
      <pivotArea dataOnly="0" labelOnly="1" outline="0" fieldPosition="0">
        <references count="2">
          <reference field="0" count="1" selected="0">
            <x v="120"/>
          </reference>
          <reference field="1" count="1">
            <x v="120"/>
          </reference>
        </references>
      </pivotArea>
    </format>
    <format dxfId="149">
      <pivotArea dataOnly="0" labelOnly="1" outline="0" fieldPosition="0">
        <references count="2">
          <reference field="0" count="1" selected="0">
            <x v="121"/>
          </reference>
          <reference field="1" count="1">
            <x v="121"/>
          </reference>
        </references>
      </pivotArea>
    </format>
    <format dxfId="148">
      <pivotArea dataOnly="0" labelOnly="1" outline="0" fieldPosition="0">
        <references count="2">
          <reference field="0" count="1" selected="0">
            <x v="122"/>
          </reference>
          <reference field="1" count="1">
            <x v="122"/>
          </reference>
        </references>
      </pivotArea>
    </format>
    <format dxfId="147">
      <pivotArea dataOnly="0" labelOnly="1" outline="0" fieldPosition="0">
        <references count="2">
          <reference field="0" count="1" selected="0">
            <x v="123"/>
          </reference>
          <reference field="1" count="1">
            <x v="123"/>
          </reference>
        </references>
      </pivotArea>
    </format>
    <format dxfId="146">
      <pivotArea dataOnly="0" labelOnly="1" outline="0" fieldPosition="0">
        <references count="2">
          <reference field="0" count="1" selected="0">
            <x v="124"/>
          </reference>
          <reference field="1" count="1">
            <x v="124"/>
          </reference>
        </references>
      </pivotArea>
    </format>
    <format dxfId="145">
      <pivotArea dataOnly="0" labelOnly="1" outline="0" fieldPosition="0">
        <references count="2">
          <reference field="0" count="1" selected="0">
            <x v="125"/>
          </reference>
          <reference field="1" count="1">
            <x v="125"/>
          </reference>
        </references>
      </pivotArea>
    </format>
    <format dxfId="144">
      <pivotArea dataOnly="0" labelOnly="1" outline="0" fieldPosition="0">
        <references count="2">
          <reference field="0" count="1" selected="0">
            <x v="126"/>
          </reference>
          <reference field="1" count="1">
            <x v="126"/>
          </reference>
        </references>
      </pivotArea>
    </format>
    <format dxfId="143">
      <pivotArea dataOnly="0" labelOnly="1" outline="0" fieldPosition="0">
        <references count="2">
          <reference field="0" count="1" selected="0">
            <x v="127"/>
          </reference>
          <reference field="1" count="1">
            <x v="127"/>
          </reference>
        </references>
      </pivotArea>
    </format>
    <format dxfId="142">
      <pivotArea dataOnly="0" labelOnly="1" outline="0" fieldPosition="0">
        <references count="2">
          <reference field="0" count="1" selected="0">
            <x v="128"/>
          </reference>
          <reference field="1" count="1">
            <x v="128"/>
          </reference>
        </references>
      </pivotArea>
    </format>
    <format dxfId="141">
      <pivotArea dataOnly="0" labelOnly="1" outline="0" fieldPosition="0">
        <references count="2">
          <reference field="0" count="1" selected="0">
            <x v="129"/>
          </reference>
          <reference field="1" count="1">
            <x v="129"/>
          </reference>
        </references>
      </pivotArea>
    </format>
    <format dxfId="140">
      <pivotArea dataOnly="0" labelOnly="1" outline="0" fieldPosition="0">
        <references count="2">
          <reference field="0" count="1" selected="0">
            <x v="130"/>
          </reference>
          <reference field="1" count="1">
            <x v="130"/>
          </reference>
        </references>
      </pivotArea>
    </format>
    <format dxfId="139">
      <pivotArea dataOnly="0" labelOnly="1" outline="0" fieldPosition="0">
        <references count="2">
          <reference field="0" count="1" selected="0">
            <x v="131"/>
          </reference>
          <reference field="1" count="1">
            <x v="131"/>
          </reference>
        </references>
      </pivotArea>
    </format>
    <format dxfId="138">
      <pivotArea dataOnly="0" labelOnly="1" outline="0" fieldPosition="0">
        <references count="2">
          <reference field="0" count="1" selected="0">
            <x v="132"/>
          </reference>
          <reference field="1" count="1">
            <x v="132"/>
          </reference>
        </references>
      </pivotArea>
    </format>
    <format dxfId="137">
      <pivotArea dataOnly="0" labelOnly="1" outline="0" fieldPosition="0">
        <references count="2">
          <reference field="0" count="1" selected="0">
            <x v="133"/>
          </reference>
          <reference field="1" count="1">
            <x v="133"/>
          </reference>
        </references>
      </pivotArea>
    </format>
    <format dxfId="136">
      <pivotArea dataOnly="0" labelOnly="1" outline="0" fieldPosition="0">
        <references count="2">
          <reference field="0" count="1" selected="0">
            <x v="134"/>
          </reference>
          <reference field="1" count="1">
            <x v="134"/>
          </reference>
        </references>
      </pivotArea>
    </format>
    <format dxfId="135">
      <pivotArea dataOnly="0" labelOnly="1" outline="0" fieldPosition="0">
        <references count="2">
          <reference field="0" count="1" selected="0">
            <x v="135"/>
          </reference>
          <reference field="1" count="1">
            <x v="135"/>
          </reference>
        </references>
      </pivotArea>
    </format>
    <format dxfId="134">
      <pivotArea dataOnly="0" labelOnly="1" outline="0" fieldPosition="0">
        <references count="2">
          <reference field="0" count="1" selected="0">
            <x v="136"/>
          </reference>
          <reference field="1" count="1">
            <x v="136"/>
          </reference>
        </references>
      </pivotArea>
    </format>
    <format dxfId="133">
      <pivotArea dataOnly="0" labelOnly="1" outline="0" fieldPosition="0">
        <references count="2">
          <reference field="0" count="1" selected="0">
            <x v="137"/>
          </reference>
          <reference field="1" count="1">
            <x v="137"/>
          </reference>
        </references>
      </pivotArea>
    </format>
    <format dxfId="132">
      <pivotArea dataOnly="0" labelOnly="1" outline="0" fieldPosition="0">
        <references count="2">
          <reference field="0" count="1" selected="0">
            <x v="138"/>
          </reference>
          <reference field="1" count="1">
            <x v="138"/>
          </reference>
        </references>
      </pivotArea>
    </format>
    <format dxfId="131">
      <pivotArea dataOnly="0" labelOnly="1" outline="0" fieldPosition="0">
        <references count="2">
          <reference field="0" count="1" selected="0">
            <x v="139"/>
          </reference>
          <reference field="1" count="1">
            <x v="139"/>
          </reference>
        </references>
      </pivotArea>
    </format>
    <format dxfId="130">
      <pivotArea dataOnly="0" labelOnly="1" outline="0" fieldPosition="0">
        <references count="2">
          <reference field="0" count="1" selected="0">
            <x v="140"/>
          </reference>
          <reference field="1" count="1">
            <x v="140"/>
          </reference>
        </references>
      </pivotArea>
    </format>
    <format dxfId="129">
      <pivotArea dataOnly="0" labelOnly="1" outline="0" fieldPosition="0">
        <references count="2">
          <reference field="0" count="1" selected="0">
            <x v="141"/>
          </reference>
          <reference field="1" count="1">
            <x v="141"/>
          </reference>
        </references>
      </pivotArea>
    </format>
    <format dxfId="128">
      <pivotArea dataOnly="0" labelOnly="1" outline="0" fieldPosition="0">
        <references count="2">
          <reference field="0" count="1" selected="0">
            <x v="142"/>
          </reference>
          <reference field="1" count="1">
            <x v="142"/>
          </reference>
        </references>
      </pivotArea>
    </format>
    <format dxfId="127">
      <pivotArea dataOnly="0" labelOnly="1" outline="0" fieldPosition="0">
        <references count="2">
          <reference field="0" count="1" selected="0">
            <x v="143"/>
          </reference>
          <reference field="1" count="1">
            <x v="143"/>
          </reference>
        </references>
      </pivotArea>
    </format>
    <format dxfId="126">
      <pivotArea dataOnly="0" labelOnly="1" outline="0" fieldPosition="0">
        <references count="2">
          <reference field="0" count="1" selected="0">
            <x v="144"/>
          </reference>
          <reference field="1" count="1">
            <x v="144"/>
          </reference>
        </references>
      </pivotArea>
    </format>
    <format dxfId="125">
      <pivotArea dataOnly="0" labelOnly="1" outline="0" fieldPosition="0">
        <references count="2">
          <reference field="0" count="1" selected="0">
            <x v="145"/>
          </reference>
          <reference field="1" count="1">
            <x v="145"/>
          </reference>
        </references>
      </pivotArea>
    </format>
    <format dxfId="124">
      <pivotArea dataOnly="0" labelOnly="1" outline="0" fieldPosition="0">
        <references count="2">
          <reference field="0" count="1" selected="0">
            <x v="146"/>
          </reference>
          <reference field="1" count="1">
            <x v="146"/>
          </reference>
        </references>
      </pivotArea>
    </format>
    <format dxfId="123">
      <pivotArea dataOnly="0" labelOnly="1" outline="0" fieldPosition="0">
        <references count="2">
          <reference field="0" count="1" selected="0">
            <x v="147"/>
          </reference>
          <reference field="1" count="1">
            <x v="147"/>
          </reference>
        </references>
      </pivotArea>
    </format>
    <format dxfId="122">
      <pivotArea dataOnly="0" labelOnly="1" outline="0" fieldPosition="0">
        <references count="2">
          <reference field="0" count="1" selected="0">
            <x v="148"/>
          </reference>
          <reference field="1" count="1">
            <x v="148"/>
          </reference>
        </references>
      </pivotArea>
    </format>
    <format dxfId="121">
      <pivotArea dataOnly="0" labelOnly="1" outline="0" fieldPosition="0">
        <references count="2">
          <reference field="0" count="1" selected="0">
            <x v="149"/>
          </reference>
          <reference field="1" count="1">
            <x v="149"/>
          </reference>
        </references>
      </pivotArea>
    </format>
    <format dxfId="120">
      <pivotArea dataOnly="0" labelOnly="1" outline="0" fieldPosition="0">
        <references count="2">
          <reference field="0" count="1" selected="0">
            <x v="150"/>
          </reference>
          <reference field="1" count="1">
            <x v="150"/>
          </reference>
        </references>
      </pivotArea>
    </format>
    <format dxfId="119">
      <pivotArea dataOnly="0" labelOnly="1" outline="0" fieldPosition="0">
        <references count="2">
          <reference field="0" count="1" selected="0">
            <x v="151"/>
          </reference>
          <reference field="1" count="1">
            <x v="151"/>
          </reference>
        </references>
      </pivotArea>
    </format>
    <format dxfId="118">
      <pivotArea dataOnly="0" labelOnly="1" outline="0" fieldPosition="0">
        <references count="2">
          <reference field="0" count="1" selected="0">
            <x v="152"/>
          </reference>
          <reference field="1" count="1">
            <x v="152"/>
          </reference>
        </references>
      </pivotArea>
    </format>
    <format dxfId="117">
      <pivotArea dataOnly="0" labelOnly="1" outline="0" fieldPosition="0">
        <references count="2">
          <reference field="0" count="1" selected="0">
            <x v="153"/>
          </reference>
          <reference field="1" count="1">
            <x v="153"/>
          </reference>
        </references>
      </pivotArea>
    </format>
    <format dxfId="116">
      <pivotArea dataOnly="0" labelOnly="1" outline="0" fieldPosition="0">
        <references count="2">
          <reference field="0" count="1" selected="0">
            <x v="154"/>
          </reference>
          <reference field="1" count="1">
            <x v="154"/>
          </reference>
        </references>
      </pivotArea>
    </format>
    <format dxfId="115">
      <pivotArea dataOnly="0" labelOnly="1" outline="0" fieldPosition="0">
        <references count="2">
          <reference field="0" count="1" selected="0">
            <x v="155"/>
          </reference>
          <reference field="1" count="1">
            <x v="155"/>
          </reference>
        </references>
      </pivotArea>
    </format>
    <format dxfId="114">
      <pivotArea dataOnly="0" labelOnly="1" outline="0" fieldPosition="0">
        <references count="2">
          <reference field="0" count="1" selected="0">
            <x v="156"/>
          </reference>
          <reference field="1" count="1">
            <x v="156"/>
          </reference>
        </references>
      </pivotArea>
    </format>
    <format dxfId="113">
      <pivotArea dataOnly="0" labelOnly="1" outline="0" fieldPosition="0">
        <references count="2">
          <reference field="0" count="1" selected="0">
            <x v="157"/>
          </reference>
          <reference field="1" count="1">
            <x v="157"/>
          </reference>
        </references>
      </pivotArea>
    </format>
    <format dxfId="112">
      <pivotArea dataOnly="0" labelOnly="1" outline="0" fieldPosition="0">
        <references count="2">
          <reference field="0" count="1" selected="0">
            <x v="158"/>
          </reference>
          <reference field="1" count="1">
            <x v="158"/>
          </reference>
        </references>
      </pivotArea>
    </format>
    <format dxfId="111">
      <pivotArea dataOnly="0" labelOnly="1" outline="0" fieldPosition="0">
        <references count="2">
          <reference field="0" count="1" selected="0">
            <x v="159"/>
          </reference>
          <reference field="1" count="1">
            <x v="159"/>
          </reference>
        </references>
      </pivotArea>
    </format>
    <format dxfId="110">
      <pivotArea dataOnly="0" labelOnly="1" outline="0" fieldPosition="0">
        <references count="2">
          <reference field="0" count="1" selected="0">
            <x v="160"/>
          </reference>
          <reference field="1" count="1">
            <x v="160"/>
          </reference>
        </references>
      </pivotArea>
    </format>
    <format dxfId="109">
      <pivotArea dataOnly="0" labelOnly="1" outline="0" fieldPosition="0">
        <references count="2">
          <reference field="0" count="1" selected="0">
            <x v="161"/>
          </reference>
          <reference field="1" count="1">
            <x v="161"/>
          </reference>
        </references>
      </pivotArea>
    </format>
    <format dxfId="108">
      <pivotArea dataOnly="0" labelOnly="1" outline="0" fieldPosition="0">
        <references count="2">
          <reference field="0" count="1" selected="0">
            <x v="162"/>
          </reference>
          <reference field="1" count="1">
            <x v="162"/>
          </reference>
        </references>
      </pivotArea>
    </format>
    <format dxfId="107">
      <pivotArea dataOnly="0" labelOnly="1" outline="0" fieldPosition="0">
        <references count="2">
          <reference field="0" count="1" selected="0">
            <x v="163"/>
          </reference>
          <reference field="1" count="1">
            <x v="163"/>
          </reference>
        </references>
      </pivotArea>
    </format>
    <format dxfId="106">
      <pivotArea dataOnly="0" labelOnly="1" outline="0" fieldPosition="0">
        <references count="2">
          <reference field="0" count="1" selected="0">
            <x v="164"/>
          </reference>
          <reference field="1" count="1">
            <x v="164"/>
          </reference>
        </references>
      </pivotArea>
    </format>
    <format dxfId="105">
      <pivotArea dataOnly="0" labelOnly="1" outline="0" fieldPosition="0">
        <references count="2">
          <reference field="0" count="1" selected="0">
            <x v="165"/>
          </reference>
          <reference field="1" count="1">
            <x v="165"/>
          </reference>
        </references>
      </pivotArea>
    </format>
    <format dxfId="104">
      <pivotArea dataOnly="0" labelOnly="1" outline="0" fieldPosition="0">
        <references count="2">
          <reference field="0" count="1" selected="0">
            <x v="166"/>
          </reference>
          <reference field="1" count="1">
            <x v="166"/>
          </reference>
        </references>
      </pivotArea>
    </format>
    <format dxfId="103">
      <pivotArea dataOnly="0" labelOnly="1" outline="0" fieldPosition="0">
        <references count="2">
          <reference field="0" count="1" selected="0">
            <x v="167"/>
          </reference>
          <reference field="1" count="1">
            <x v="167"/>
          </reference>
        </references>
      </pivotArea>
    </format>
    <format dxfId="102">
      <pivotArea dataOnly="0" labelOnly="1" outline="0" fieldPosition="0">
        <references count="2">
          <reference field="0" count="1" selected="0">
            <x v="168"/>
          </reference>
          <reference field="1" count="1">
            <x v="168"/>
          </reference>
        </references>
      </pivotArea>
    </format>
    <format dxfId="101">
      <pivotArea dataOnly="0" labelOnly="1" outline="0" fieldPosition="0">
        <references count="2">
          <reference field="0" count="1" selected="0">
            <x v="169"/>
          </reference>
          <reference field="1" count="1">
            <x v="169"/>
          </reference>
        </references>
      </pivotArea>
    </format>
    <format dxfId="100">
      <pivotArea dataOnly="0" labelOnly="1" outline="0" fieldPosition="0">
        <references count="2">
          <reference field="0" count="1" selected="0">
            <x v="170"/>
          </reference>
          <reference field="1" count="1">
            <x v="170"/>
          </reference>
        </references>
      </pivotArea>
    </format>
    <format dxfId="99">
      <pivotArea dataOnly="0" labelOnly="1" outline="0" fieldPosition="0">
        <references count="2">
          <reference field="0" count="1" selected="0">
            <x v="171"/>
          </reference>
          <reference field="1" count="1">
            <x v="171"/>
          </reference>
        </references>
      </pivotArea>
    </format>
    <format dxfId="98">
      <pivotArea dataOnly="0" labelOnly="1" outline="0" fieldPosition="0">
        <references count="2">
          <reference field="0" count="1" selected="0">
            <x v="172"/>
          </reference>
          <reference field="1" count="1">
            <x v="172"/>
          </reference>
        </references>
      </pivotArea>
    </format>
    <format dxfId="97">
      <pivotArea dataOnly="0" labelOnly="1" outline="0" fieldPosition="0">
        <references count="2">
          <reference field="0" count="1" selected="0">
            <x v="173"/>
          </reference>
          <reference field="1" count="1">
            <x v="173"/>
          </reference>
        </references>
      </pivotArea>
    </format>
    <format dxfId="96">
      <pivotArea dataOnly="0" labelOnly="1" outline="0" fieldPosition="0">
        <references count="2">
          <reference field="0" count="1" selected="0">
            <x v="174"/>
          </reference>
          <reference field="1" count="1">
            <x v="174"/>
          </reference>
        </references>
      </pivotArea>
    </format>
    <format dxfId="95">
      <pivotArea dataOnly="0" labelOnly="1" outline="0" fieldPosition="0">
        <references count="2">
          <reference field="0" count="1" selected="0">
            <x v="175"/>
          </reference>
          <reference field="1" count="1">
            <x v="175"/>
          </reference>
        </references>
      </pivotArea>
    </format>
    <format dxfId="94">
      <pivotArea dataOnly="0" labelOnly="1" outline="0" fieldPosition="0">
        <references count="2">
          <reference field="0" count="1" selected="0">
            <x v="176"/>
          </reference>
          <reference field="1" count="1">
            <x v="176"/>
          </reference>
        </references>
      </pivotArea>
    </format>
    <format dxfId="93">
      <pivotArea dataOnly="0" labelOnly="1" outline="0" fieldPosition="0">
        <references count="2">
          <reference field="0" count="1" selected="0">
            <x v="177"/>
          </reference>
          <reference field="1" count="1">
            <x v="177"/>
          </reference>
        </references>
      </pivotArea>
    </format>
    <format dxfId="92">
      <pivotArea dataOnly="0" labelOnly="1" outline="0" fieldPosition="0">
        <references count="2">
          <reference field="0" count="1" selected="0">
            <x v="178"/>
          </reference>
          <reference field="1" count="1">
            <x v="178"/>
          </reference>
        </references>
      </pivotArea>
    </format>
    <format dxfId="91">
      <pivotArea dataOnly="0" labelOnly="1" outline="0" fieldPosition="0">
        <references count="2">
          <reference field="0" count="1" selected="0">
            <x v="179"/>
          </reference>
          <reference field="1" count="1">
            <x v="179"/>
          </reference>
        </references>
      </pivotArea>
    </format>
    <format dxfId="90">
      <pivotArea dataOnly="0" labelOnly="1" outline="0" fieldPosition="0">
        <references count="2">
          <reference field="0" count="1" selected="0">
            <x v="180"/>
          </reference>
          <reference field="1" count="1">
            <x v="180"/>
          </reference>
        </references>
      </pivotArea>
    </format>
    <format dxfId="89">
      <pivotArea dataOnly="0" labelOnly="1" outline="0" fieldPosition="0">
        <references count="2">
          <reference field="0" count="1" selected="0">
            <x v="181"/>
          </reference>
          <reference field="1" count="1">
            <x v="181"/>
          </reference>
        </references>
      </pivotArea>
    </format>
    <format dxfId="88">
      <pivotArea dataOnly="0" labelOnly="1" outline="0" fieldPosition="0">
        <references count="2">
          <reference field="0" count="1" selected="0">
            <x v="182"/>
          </reference>
          <reference field="1" count="1">
            <x v="182"/>
          </reference>
        </references>
      </pivotArea>
    </format>
    <format dxfId="87">
      <pivotArea dataOnly="0" labelOnly="1" outline="0" fieldPosition="0">
        <references count="2">
          <reference field="0" count="1" selected="0">
            <x v="183"/>
          </reference>
          <reference field="1" count="1">
            <x v="183"/>
          </reference>
        </references>
      </pivotArea>
    </format>
    <format dxfId="86">
      <pivotArea dataOnly="0" labelOnly="1" outline="0" fieldPosition="0">
        <references count="2">
          <reference field="0" count="1" selected="0">
            <x v="184"/>
          </reference>
          <reference field="1" count="1">
            <x v="184"/>
          </reference>
        </references>
      </pivotArea>
    </format>
    <format dxfId="85">
      <pivotArea dataOnly="0" labelOnly="1" outline="0" fieldPosition="0">
        <references count="2">
          <reference field="0" count="1" selected="0">
            <x v="185"/>
          </reference>
          <reference field="1" count="1">
            <x v="185"/>
          </reference>
        </references>
      </pivotArea>
    </format>
    <format dxfId="84">
      <pivotArea dataOnly="0" labelOnly="1" outline="0" fieldPosition="0">
        <references count="2">
          <reference field="0" count="1" selected="0">
            <x v="186"/>
          </reference>
          <reference field="1" count="1">
            <x v="186"/>
          </reference>
        </references>
      </pivotArea>
    </format>
    <format dxfId="83">
      <pivotArea dataOnly="0" labelOnly="1" outline="0" fieldPosition="0">
        <references count="2">
          <reference field="0" count="1" selected="0">
            <x v="187"/>
          </reference>
          <reference field="1" count="1">
            <x v="187"/>
          </reference>
        </references>
      </pivotArea>
    </format>
    <format dxfId="82">
      <pivotArea dataOnly="0" labelOnly="1" outline="0" fieldPosition="0">
        <references count="2">
          <reference field="0" count="1" selected="0">
            <x v="188"/>
          </reference>
          <reference field="1" count="1">
            <x v="188"/>
          </reference>
        </references>
      </pivotArea>
    </format>
    <format dxfId="81">
      <pivotArea dataOnly="0" labelOnly="1" outline="0" fieldPosition="0">
        <references count="2">
          <reference field="0" count="1" selected="0">
            <x v="189"/>
          </reference>
          <reference field="1" count="1">
            <x v="189"/>
          </reference>
        </references>
      </pivotArea>
    </format>
    <format dxfId="80">
      <pivotArea dataOnly="0" labelOnly="1" outline="0" fieldPosition="0">
        <references count="2">
          <reference field="0" count="1" selected="0">
            <x v="190"/>
          </reference>
          <reference field="1" count="1">
            <x v="190"/>
          </reference>
        </references>
      </pivotArea>
    </format>
    <format dxfId="79">
      <pivotArea dataOnly="0" labelOnly="1" outline="0" fieldPosition="0">
        <references count="2">
          <reference field="0" count="1" selected="0">
            <x v="191"/>
          </reference>
          <reference field="1" count="1">
            <x v="191"/>
          </reference>
        </references>
      </pivotArea>
    </format>
    <format dxfId="78">
      <pivotArea dataOnly="0" labelOnly="1" outline="0" fieldPosition="0">
        <references count="2">
          <reference field="0" count="1" selected="0">
            <x v="192"/>
          </reference>
          <reference field="1" count="1">
            <x v="192"/>
          </reference>
        </references>
      </pivotArea>
    </format>
    <format dxfId="77">
      <pivotArea dataOnly="0" labelOnly="1" outline="0" fieldPosition="0">
        <references count="2">
          <reference field="0" count="1" selected="0">
            <x v="193"/>
          </reference>
          <reference field="1" count="1">
            <x v="193"/>
          </reference>
        </references>
      </pivotArea>
    </format>
    <format dxfId="76">
      <pivotArea dataOnly="0" labelOnly="1" outline="0" fieldPosition="0">
        <references count="2">
          <reference field="0" count="1" selected="0">
            <x v="194"/>
          </reference>
          <reference field="1" count="1">
            <x v="194"/>
          </reference>
        </references>
      </pivotArea>
    </format>
    <format dxfId="75">
      <pivotArea dataOnly="0" labelOnly="1" outline="0" fieldPosition="0">
        <references count="2">
          <reference field="0" count="1" selected="0">
            <x v="195"/>
          </reference>
          <reference field="1" count="1">
            <x v="195"/>
          </reference>
        </references>
      </pivotArea>
    </format>
    <format dxfId="74">
      <pivotArea dataOnly="0" labelOnly="1" outline="0" fieldPosition="0">
        <references count="2">
          <reference field="0" count="1" selected="0">
            <x v="196"/>
          </reference>
          <reference field="1" count="1">
            <x v="196"/>
          </reference>
        </references>
      </pivotArea>
    </format>
    <format dxfId="73">
      <pivotArea dataOnly="0" labelOnly="1" outline="0" fieldPosition="0">
        <references count="2">
          <reference field="0" count="1" selected="0">
            <x v="197"/>
          </reference>
          <reference field="1" count="1">
            <x v="197"/>
          </reference>
        </references>
      </pivotArea>
    </format>
    <format dxfId="72">
      <pivotArea dataOnly="0" labelOnly="1" outline="0" fieldPosition="0">
        <references count="2">
          <reference field="0" count="1" selected="0">
            <x v="198"/>
          </reference>
          <reference field="1" count="1">
            <x v="198"/>
          </reference>
        </references>
      </pivotArea>
    </format>
    <format dxfId="71">
      <pivotArea dataOnly="0" labelOnly="1" outline="0" fieldPosition="0">
        <references count="2">
          <reference field="0" count="1" selected="0">
            <x v="199"/>
          </reference>
          <reference field="1" count="1">
            <x v="199"/>
          </reference>
        </references>
      </pivotArea>
    </format>
    <format dxfId="70">
      <pivotArea dataOnly="0" labelOnly="1" outline="0" fieldPosition="0">
        <references count="2">
          <reference field="0" count="1" selected="0">
            <x v="200"/>
          </reference>
          <reference field="1" count="1">
            <x v="200"/>
          </reference>
        </references>
      </pivotArea>
    </format>
    <format dxfId="69">
      <pivotArea dataOnly="0" labelOnly="1" outline="0" fieldPosition="0">
        <references count="2">
          <reference field="0" count="1" selected="0">
            <x v="201"/>
          </reference>
          <reference field="1" count="1">
            <x v="201"/>
          </reference>
        </references>
      </pivotArea>
    </format>
    <format dxfId="68">
      <pivotArea dataOnly="0" labelOnly="1" outline="0" fieldPosition="0">
        <references count="2">
          <reference field="0" count="1" selected="0">
            <x v="202"/>
          </reference>
          <reference field="1" count="1">
            <x v="202"/>
          </reference>
        </references>
      </pivotArea>
    </format>
    <format dxfId="67">
      <pivotArea dataOnly="0" labelOnly="1" outline="0" fieldPosition="0">
        <references count="2">
          <reference field="0" count="1" selected="0">
            <x v="203"/>
          </reference>
          <reference field="1" count="1">
            <x v="203"/>
          </reference>
        </references>
      </pivotArea>
    </format>
    <format dxfId="66">
      <pivotArea dataOnly="0" labelOnly="1" outline="0" fieldPosition="0">
        <references count="2">
          <reference field="0" count="1" selected="0">
            <x v="204"/>
          </reference>
          <reference field="1" count="1">
            <x v="204"/>
          </reference>
        </references>
      </pivotArea>
    </format>
    <format dxfId="65">
      <pivotArea dataOnly="0" labelOnly="1" outline="0" fieldPosition="0">
        <references count="2">
          <reference field="0" count="1" selected="0">
            <x v="205"/>
          </reference>
          <reference field="1" count="1">
            <x v="205"/>
          </reference>
        </references>
      </pivotArea>
    </format>
    <format dxfId="64">
      <pivotArea dataOnly="0" labelOnly="1" outline="0" fieldPosition="0">
        <references count="2">
          <reference field="0" count="1" selected="0">
            <x v="206"/>
          </reference>
          <reference field="1" count="1">
            <x v="206"/>
          </reference>
        </references>
      </pivotArea>
    </format>
    <format dxfId="63">
      <pivotArea dataOnly="0" labelOnly="1" outline="0" fieldPosition="0">
        <references count="2">
          <reference field="0" count="1" selected="0">
            <x v="207"/>
          </reference>
          <reference field="1" count="1">
            <x v="207"/>
          </reference>
        </references>
      </pivotArea>
    </format>
    <format dxfId="62">
      <pivotArea dataOnly="0" labelOnly="1" outline="0" fieldPosition="0">
        <references count="2">
          <reference field="0" count="1" selected="0">
            <x v="208"/>
          </reference>
          <reference field="1" count="1">
            <x v="208"/>
          </reference>
        </references>
      </pivotArea>
    </format>
    <format dxfId="61">
      <pivotArea type="topRight" dataOnly="0" labelOnly="1" outline="0" fieldPosition="0"/>
    </format>
  </formats>
  <pivotHierarchies count="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Dark8" showRowHeaders="1" showColHeaders="1" showRowStripes="0" showColStripes="0" showLastColumn="1"/>
  <rowHierarchiesUsage count="2">
    <rowHierarchyUsage hierarchyUsage="4"/>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prd]"/>
        <x15:activeTabTopLevelEntity name="[TBLinvtry 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 xr10:uid="{67962193-8BEB-4461-9181-3C9D24E82D68}" sourceName="[TBLprd].[Brand]">
  <pivotTables>
    <pivotTable tabId="50" name="PivotTable2"/>
    <pivotTable tabId="50" name="PivotTable1"/>
  </pivotTables>
  <data>
    <olap pivotCacheId="71791548">
      <levels count="2">
        <level uniqueName="[TBLprd].[Brand].[(All)]" sourceCaption="(All)" count="0"/>
        <level uniqueName="[TBLprd].[Brand].[Brand]" sourceCaption="Brand" count="4">
          <ranges>
            <range startItem="0">
              <i n="[TBLprd].[Brand].&amp;[Barand A]" c="Barand A"/>
              <i n="[TBLprd].[Brand].&amp;[Barand B]" c="Barand B"/>
              <i n="[TBLprd].[Brand].&amp;[Barand C]" c="Barand C"/>
              <i n="[TBLprd].[Brand].&amp;[Barand D]" c="Barand D"/>
            </range>
          </ranges>
        </level>
      </levels>
      <selections count="1">
        <selection n="[TBLprd].[Brand].[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 xr10:uid="{075D4448-194A-48C8-AA57-1129658667F3}" sourceName="[TBLprd].[Company]">
  <pivotTables>
    <pivotTable tabId="50" name="PivotTable2"/>
    <pivotTable tabId="50" name="PivotTable1"/>
  </pivotTables>
  <data>
    <olap pivotCacheId="71791548">
      <levels count="2">
        <level uniqueName="[TBLprd].[Company].[(All)]" sourceCaption="(All)" count="0"/>
        <level uniqueName="[TBLprd].[Company].[Company]" sourceCaption="Company" count="4">
          <ranges>
            <range startItem="0">
              <i n="[TBLprd].[Company].&amp;[Company A]" c="Company A"/>
              <i n="[TBLprd].[Company].&amp;[Company B]" c="Company B"/>
              <i n="[TBLprd].[Company].&amp;[Company C]" c="Company C"/>
              <i n="[TBLprd].[Company].&amp;[Company D]" c="Company D"/>
            </range>
          </ranges>
        </level>
      </levels>
      <selections count="1">
        <selection n="[TBLprd].[Compan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d" xr10:uid="{89EFC438-5A1B-41D2-BE76-11AB1707731B}" cache="Slicer_Brand" caption="Brand" level="1" rowHeight="241300"/>
  <slicer name="Company" xr10:uid="{CE243C52-7DDE-487E-8ADB-B0646C4CAA2A}" cache="Slicer_Company" caption="Company"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D043A06-C94E-4E58-A84A-4815C877D9A6}" name="TBLPLace" displayName="TBLPLace" ref="A1:A52" totalsRowShown="0" headerRowDxfId="523" dataDxfId="522">
  <autoFilter ref="A1:A52" xr:uid="{8CEB4253-876D-4D9E-9473-A4BC56268C6C}"/>
  <tableColumns count="1">
    <tableColumn id="1" xr3:uid="{2C3BF20A-E1E8-42E7-B219-BB210552FF8A}" name="States" dataDxfId="521"/>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7CFCE80-F3BC-4C9D-AD11-1BBBB15B7BE3}" name="TBLinvtry" displayName="TBLinvtry" ref="A1:C210" totalsRowShown="0" headerRowDxfId="60" dataDxfId="59">
  <autoFilter ref="A1:C210" xr:uid="{814C4B44-41CD-47A5-AB1B-2D2CCC42EB0D}"/>
  <tableColumns count="3">
    <tableColumn id="1" xr3:uid="{F5A41BF2-081D-4FF0-855D-F29E4C99FF0D}" name="Code" dataDxfId="58"/>
    <tableColumn id="2" xr3:uid="{1C14CCC1-F17C-4A6C-9321-89CBC299C376}" name="Name" dataDxfId="57"/>
    <tableColumn id="3" xr3:uid="{AC696B72-5444-4D2C-9482-82233BEACFC8}" name="Inventory" dataDxfId="56">
      <calculatedColumnFormula>RANDBETWEEN(0,1500)</calculatedColumnFormula>
    </tableColumn>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B366365-F310-4B22-B613-0C6BE2C2648D}" name="Table13" displayName="Table13" ref="A1:F211" totalsRowShown="0" headerRowDxfId="55" dataDxfId="54">
  <autoFilter ref="A1:F211" xr:uid="{DB8D829E-24AE-44A1-B412-93B6076DF597}"/>
  <tableColumns count="6">
    <tableColumn id="1" xr3:uid="{E1B8A449-72A0-4CC1-9771-DEBEE4E969A9}" name="Code" dataDxfId="53"/>
    <tableColumn id="2" xr3:uid="{851C6275-4B03-422A-AB49-278E5BD499EF}" name="Name" dataDxfId="52"/>
    <tableColumn id="3" xr3:uid="{E018AE5D-D2E8-4397-9913-729A61D66074}" name="Sum of Inventory" dataDxfId="51">
      <calculatedColumnFormula>VLOOKUP(Table13[[#This Row],[Code]],'Main Storage'!A:D,3,0)</calculatedColumnFormula>
    </tableColumn>
    <tableColumn id="4" xr3:uid="{8A458500-20FD-40C7-9127-0C60B59199B2}" name="Box" dataDxfId="50">
      <calculatedColumnFormula>VLOOKUP(Table13[[#This Row],[Code]],'Main Storage'!A:E,4,0)</calculatedColumnFormula>
    </tableColumn>
    <tableColumn id="5" xr3:uid="{2749A892-16C7-4700-AAE4-03C32BBEE349}" name="Order" dataDxfId="49"/>
    <tableColumn id="6" xr3:uid="{391B84DC-78D5-493A-B810-785E17900561}" name="Remain" dataDxfId="48">
      <calculatedColumnFormula>Table13[[#This Row],[Box]]-Table13[[#This Row],[Order]]</calculatedColumnFormula>
    </tableColumn>
  </tableColumns>
  <tableStyleInfo name="TableStyleDark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CB2908D-94B0-4FAC-939C-BC7ADD2B3F27}" name="Table133" displayName="Table133" ref="A1:F211" totalsRowShown="0" headerRowDxfId="47" dataDxfId="46">
  <autoFilter ref="A1:F211" xr:uid="{5057A652-C4A5-4887-AFED-C9F0B372F40D}"/>
  <tableColumns count="6">
    <tableColumn id="1" xr3:uid="{8B84921C-8807-4EC7-86B8-CFEFE7109D18}" name="Code" dataDxfId="45"/>
    <tableColumn id="2" xr3:uid="{7A0C3823-5B47-4495-B926-124313298F27}" name="Name" dataDxfId="44"/>
    <tableColumn id="3" xr3:uid="{153CF233-E665-48A3-A0EA-0234E6DC63C9}" name="Sum of Inventory" dataDxfId="43">
      <calculatedColumnFormula>VLOOKUP(Table133[[#This Row],[Code]],'Main Storage'!A:D,3,0)</calculatedColumnFormula>
    </tableColumn>
    <tableColumn id="4" xr3:uid="{AD96F219-113C-4FBF-B52E-FF53690895D8}" name="Box" dataDxfId="40">
      <calculatedColumnFormula>VLOOKUP(Table133[[#This Row],[Code]],Order!A:F,6,0)</calculatedColumnFormula>
    </tableColumn>
    <tableColumn id="5" xr3:uid="{E52A8A9E-8FD0-4343-8C9B-845CA74C5B62}" name="Order" dataDxfId="42"/>
    <tableColumn id="6" xr3:uid="{F4C6BE66-9038-4EA1-8ADA-1C4E7350151E}" name="Remain" dataDxfId="41">
      <calculatedColumnFormula>Table133[[#This Row],[Box]]-Table133[[#This Row],[Order]]</calculatedColumnFormula>
    </tableColumn>
  </tableColumns>
  <tableStyleInfo name="TableStyleDark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53C138F-012B-4B99-B0EC-9EB2101AAF3F}" name="Table134" displayName="Table134" ref="A1:F211" totalsRowShown="0" headerRowDxfId="39" dataDxfId="38">
  <autoFilter ref="A1:F211" xr:uid="{0337B86F-CFC2-44AC-B2B1-6CABCDDBE94D}"/>
  <tableColumns count="6">
    <tableColumn id="1" xr3:uid="{392AAA00-3865-4461-BFD6-76EA7361AED2}" name="Code" dataDxfId="37"/>
    <tableColumn id="2" xr3:uid="{EF1D9B90-225C-4271-A694-405FC77A7475}" name="Name" dataDxfId="36"/>
    <tableColumn id="3" xr3:uid="{A9B77482-417C-4997-A2AD-B02BDEF887EF}" name="Sum of Inventory" dataDxfId="35">
      <calculatedColumnFormula>VLOOKUP(Table134[[#This Row],[Code]],'Main Storage'!A:D,3,0)</calculatedColumnFormula>
    </tableColumn>
    <tableColumn id="4" xr3:uid="{6CDD3369-102A-4F81-86E3-9B6A265EE0A3}" name="Box" dataDxfId="32">
      <calculatedColumnFormula>VLOOKUP(Table134[[#This Row],[Code]],Connecticut!A:F,6,0)</calculatedColumnFormula>
    </tableColumn>
    <tableColumn id="5" xr3:uid="{D7315858-4A26-42F0-9DDE-2FF5EB52A65B}" name="Order" dataDxfId="34"/>
    <tableColumn id="6" xr3:uid="{42B8BA51-0510-4E8F-9AF9-FCFC19792EB1}" name="Remain" dataDxfId="33">
      <calculatedColumnFormula>Table134[[#This Row],[Box]]-Table134[[#This Row],[Order]]</calculatedColumnFormula>
    </tableColumn>
  </tableColumns>
  <tableStyleInfo name="TableStyleDark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13DFCF-703C-4DE0-8062-DB12E4ED43D4}" name="Table135" displayName="Table135" ref="A1:F211" totalsRowShown="0" headerRowDxfId="31" dataDxfId="30">
  <autoFilter ref="A1:F211" xr:uid="{1288B816-1524-49A6-B801-1C1CC3C93B99}"/>
  <tableColumns count="6">
    <tableColumn id="1" xr3:uid="{34C1F67E-2565-4835-B435-AD65EBBC906A}" name="Code" dataDxfId="29"/>
    <tableColumn id="2" xr3:uid="{FAD0487F-5944-4BA1-B8D0-6F82BF58FFAD}" name="Name" dataDxfId="28"/>
    <tableColumn id="3" xr3:uid="{72759E1F-735F-4150-8B79-9219E66F2145}" name="Sum of Inventory" dataDxfId="27">
      <calculatedColumnFormula>VLOOKUP(Table135[[#This Row],[Code]],'Main Storage'!A:D,3,0)</calculatedColumnFormula>
    </tableColumn>
    <tableColumn id="4" xr3:uid="{D3312316-467A-44B5-8546-646A91865CEE}" name="Box" dataDxfId="24">
      <calculatedColumnFormula>VLOOKUP(Table135[[#This Row],[Code]],Iowa!A:F,6,0)</calculatedColumnFormula>
    </tableColumn>
    <tableColumn id="5" xr3:uid="{10E78926-77E4-4E94-B9D0-0C29B44F0A91}" name="Order" dataDxfId="26"/>
    <tableColumn id="6" xr3:uid="{B5E835DA-4EE2-4635-92F7-871EA6B63A1F}" name="Remain" dataDxfId="25">
      <calculatedColumnFormula>Table135[[#This Row],[Box]]-Table135[[#This Row],[Order]]</calculatedColumnFormula>
    </tableColumn>
  </tableColumns>
  <tableStyleInfo name="TableStyleDark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BD1F1A8-4315-42B2-977E-BA036A8CA97F}" name="Table136" displayName="Table136" ref="A1:F211" totalsRowShown="0" headerRowDxfId="23" dataDxfId="22">
  <autoFilter ref="A1:F211" xr:uid="{44068D4C-A48B-4A44-8205-133581B63DA7}"/>
  <tableColumns count="6">
    <tableColumn id="1" xr3:uid="{53CB73C9-BAEE-43FA-8295-670171C91156}" name="Code" dataDxfId="21"/>
    <tableColumn id="2" xr3:uid="{FAD1D4B7-8755-4D19-855A-D0C399F7684D}" name="Name" dataDxfId="20"/>
    <tableColumn id="3" xr3:uid="{2BDA22C7-C9BE-4141-880F-83EEAD1F67FC}" name="Sum of Inventory" dataDxfId="19">
      <calculatedColumnFormula>VLOOKUP(Table136[[#This Row],[Code]],'Main Storage'!A:D,3,0)</calculatedColumnFormula>
    </tableColumn>
    <tableColumn id="4" xr3:uid="{F08D38AA-113F-4C48-A117-E612C01BA81C}" name="Box" dataDxfId="16">
      <calculatedColumnFormula>VLOOKUP(Table136[[#This Row],[Code]],Maine!A:F,6,0)</calculatedColumnFormula>
    </tableColumn>
    <tableColumn id="5" xr3:uid="{89295644-BE7F-4797-A010-4CC1619568FE}" name="Order" dataDxfId="18"/>
    <tableColumn id="6" xr3:uid="{698B62CB-8AA2-412F-8A61-F3030541846D}" name="Remain" dataDxfId="17">
      <calculatedColumnFormula>Table136[[#This Row],[Box]]-Table136[[#This Row],[Order]]</calculatedColumnFormula>
    </tableColumn>
  </tableColumns>
  <tableStyleInfo name="TableStyleDark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8D60C63-EAB8-4870-8A48-AFA508402BD0}" name="Table137" displayName="Table137" ref="A1:F211" totalsRowShown="0" headerRowDxfId="15" dataDxfId="14">
  <autoFilter ref="A1:F211" xr:uid="{2AD24758-29F8-4652-9D6A-817D8122FF7F}"/>
  <tableColumns count="6">
    <tableColumn id="1" xr3:uid="{34D34D2D-8A4B-4AFD-A52D-B726256BB4A6}" name="Code" dataDxfId="13"/>
    <tableColumn id="2" xr3:uid="{259DC342-028E-4005-A89C-2C799A345D67}" name="Name" dataDxfId="12"/>
    <tableColumn id="3" xr3:uid="{A0C6F035-BB87-4CF9-BAFC-3ECBC2F0264F}" name="Sum of Inventory" dataDxfId="11">
      <calculatedColumnFormula>VLOOKUP(Table137[[#This Row],[Code]],'Main Storage'!A:D,3,0)</calculatedColumnFormula>
    </tableColumn>
    <tableColumn id="4" xr3:uid="{D1BD14EA-FBA9-47B6-AAD4-610E4BC268D0}" name="Box" dataDxfId="8">
      <calculatedColumnFormula>VLOOKUP(Table137[[#This Row],[Code]],'New York'!A:F,6,0)</calculatedColumnFormula>
    </tableColumn>
    <tableColumn id="5" xr3:uid="{0D359142-B028-4D8A-B54C-90F8B2F01700}" name="Order" dataDxfId="10"/>
    <tableColumn id="6" xr3:uid="{074585F2-F5D7-4348-A967-DCE01ECF93DF}" name="Remain" dataDxfId="9">
      <calculatedColumnFormula>Table137[[#This Row],[Box]]-Table137[[#This Row],[Order]]</calculatedColumnFormula>
    </tableColumn>
  </tableColumns>
  <tableStyleInfo name="TableStyleDark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A562D-2B2C-434E-922D-5E8429877138}" name="Table139" displayName="Table139" ref="A1:F211" totalsRowShown="0" headerRowDxfId="7" dataDxfId="6">
  <autoFilter ref="A1:F211" xr:uid="{1663E4A3-4DEE-4FCE-B0F5-9407E5248E3B}"/>
  <tableColumns count="6">
    <tableColumn id="1" xr3:uid="{00C7E7D3-34E5-4E7E-B5DC-1EA31A1EF371}" name="Code" dataDxfId="5"/>
    <tableColumn id="2" xr3:uid="{872F643A-A5C6-471D-87D8-436CD720D54B}" name="Name" dataDxfId="4"/>
    <tableColumn id="3" xr3:uid="{761C9DDE-A3AC-4E84-BC3D-3D9D6365B474}" name="Sum of Inventory" dataDxfId="3">
      <calculatedColumnFormula>VLOOKUP(Table139[[#This Row],[Code]],'Main Storage'!A:D,3,0)</calculatedColumnFormula>
    </tableColumn>
    <tableColumn id="4" xr3:uid="{4CC88830-4519-461D-8014-CFC48E8A0AFA}" name="Box" dataDxfId="0">
      <calculatedColumnFormula>VLOOKUP(Table139[[#This Row],[Code]],Montana!A:F,6,0)</calculatedColumnFormula>
    </tableColumn>
    <tableColumn id="5" xr3:uid="{F430741D-FF84-4EDF-AC2A-AAFEAD2ADE18}" name="Order" dataDxfId="2"/>
    <tableColumn id="6" xr3:uid="{FAA44E4D-6665-4ED4-BABF-B175C35438FD}" name="Remain" dataDxfId="1">
      <calculatedColumnFormula>Table139[[#This Row],[Box]]-Table139[[#This Row],[Order]]</calculatedColumnFormula>
    </tableColumn>
  </tableColumns>
  <tableStyleInfo name="TableStyleDark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F37D2-D8F0-41AF-9361-7588D4E85559}">
  <sheetPr codeName="Sheet1"/>
  <dimension ref="A1"/>
  <sheetViews>
    <sheetView tabSelected="1" zoomScaleNormal="100" workbookViewId="0">
      <selection activeCell="Q31" sqref="Q31"/>
    </sheetView>
  </sheetViews>
  <sheetFormatPr defaultRowHeight="15" x14ac:dyDescent="0.25"/>
  <cols>
    <col min="1" max="16384" width="9.140625" style="2"/>
  </cols>
  <sheetData/>
  <dataConsolidate/>
  <pageMargins left="0.7" right="0.7" top="0.75" bottom="0.75" header="0.3" footer="0.3"/>
  <pageSetup orientation="portrait" r:id="rId1"/>
  <drawing r:id="rId2"/>
  <legacyDrawing r:id="rId3"/>
  <controls>
    <mc:AlternateContent xmlns:mc="http://schemas.openxmlformats.org/markup-compatibility/2006">
      <mc:Choice Requires="x14">
        <control shapeId="3083" r:id="rId4" name="cmnbtnmksheet">
          <controlPr defaultSize="0" autoLine="0" r:id="rId5">
            <anchor moveWithCells="1">
              <from>
                <xdr:col>3</xdr:col>
                <xdr:colOff>180975</xdr:colOff>
                <xdr:row>8</xdr:row>
                <xdr:rowOff>104775</xdr:rowOff>
              </from>
              <to>
                <xdr:col>4</xdr:col>
                <xdr:colOff>485775</xdr:colOff>
                <xdr:row>10</xdr:row>
                <xdr:rowOff>28575</xdr:rowOff>
              </to>
            </anchor>
          </controlPr>
        </control>
      </mc:Choice>
      <mc:Fallback>
        <control shapeId="3083" r:id="rId4" name="cmnbtnmksheet"/>
      </mc:Fallback>
    </mc:AlternateContent>
    <mc:AlternateContent xmlns:mc="http://schemas.openxmlformats.org/markup-compatibility/2006">
      <mc:Choice Requires="x14">
        <control shapeId="3082" r:id="rId6" name="SpinButton">
          <controlPr defaultSize="0" autoLine="0" r:id="rId7">
            <anchor moveWithCells="1">
              <from>
                <xdr:col>3</xdr:col>
                <xdr:colOff>419100</xdr:colOff>
                <xdr:row>11</xdr:row>
                <xdr:rowOff>9525</xdr:rowOff>
              </from>
              <to>
                <xdr:col>4</xdr:col>
                <xdr:colOff>200025</xdr:colOff>
                <xdr:row>15</xdr:row>
                <xdr:rowOff>9525</xdr:rowOff>
              </to>
            </anchor>
          </controlPr>
        </control>
      </mc:Choice>
      <mc:Fallback>
        <control shapeId="3082" r:id="rId6" name="SpinButton"/>
      </mc:Fallback>
    </mc:AlternateContent>
    <mc:AlternateContent xmlns:mc="http://schemas.openxmlformats.org/markup-compatibility/2006">
      <mc:Choice Requires="x14">
        <control shapeId="3081" r:id="rId8" name="cmbdto2">
          <controlPr defaultSize="0" autoLine="0" r:id="rId9">
            <anchor moveWithCells="1">
              <from>
                <xdr:col>3</xdr:col>
                <xdr:colOff>180975</xdr:colOff>
                <xdr:row>6</xdr:row>
                <xdr:rowOff>47625</xdr:rowOff>
              </from>
              <to>
                <xdr:col>4</xdr:col>
                <xdr:colOff>485775</xdr:colOff>
                <xdr:row>7</xdr:row>
                <xdr:rowOff>161925</xdr:rowOff>
              </to>
            </anchor>
          </controlPr>
        </control>
      </mc:Choice>
      <mc:Fallback>
        <control shapeId="3081" r:id="rId8" name="cmbdto2"/>
      </mc:Fallback>
    </mc:AlternateContent>
    <mc:AlternateContent xmlns:mc="http://schemas.openxmlformats.org/markup-compatibility/2006">
      <mc:Choice Requires="x14">
        <control shapeId="3079" r:id="rId10" name="cmbtload">
          <controlPr defaultSize="0" autoLine="0" r:id="rId11">
            <anchor moveWithCells="1">
              <from>
                <xdr:col>3</xdr:col>
                <xdr:colOff>180975</xdr:colOff>
                <xdr:row>4</xdr:row>
                <xdr:rowOff>0</xdr:rowOff>
              </from>
              <to>
                <xdr:col>4</xdr:col>
                <xdr:colOff>485775</xdr:colOff>
                <xdr:row>5</xdr:row>
                <xdr:rowOff>114300</xdr:rowOff>
              </to>
            </anchor>
          </controlPr>
        </control>
      </mc:Choice>
      <mc:Fallback>
        <control shapeId="3079" r:id="rId10" name="cmbtload"/>
      </mc:Fallback>
    </mc:AlternateContent>
    <mc:AlternateContent xmlns:mc="http://schemas.openxmlformats.org/markup-compatibility/2006">
      <mc:Choice Requires="x14">
        <control shapeId="3075" r:id="rId12" name="ListBox2">
          <controlPr defaultSize="0" autoLine="0" linkedCell="L1" r:id="rId13">
            <anchor moveWithCells="1">
              <from>
                <xdr:col>5</xdr:col>
                <xdr:colOff>123825</xdr:colOff>
                <xdr:row>0</xdr:row>
                <xdr:rowOff>0</xdr:rowOff>
              </from>
              <to>
                <xdr:col>8</xdr:col>
                <xdr:colOff>200025</xdr:colOff>
                <xdr:row>27</xdr:row>
                <xdr:rowOff>180975</xdr:rowOff>
              </to>
            </anchor>
          </controlPr>
        </control>
      </mc:Choice>
      <mc:Fallback>
        <control shapeId="3075" r:id="rId12" name="ListBox2"/>
      </mc:Fallback>
    </mc:AlternateContent>
    <mc:AlternateContent xmlns:mc="http://schemas.openxmlformats.org/markup-compatibility/2006">
      <mc:Choice Requires="x14">
        <control shapeId="3073" r:id="rId14" name="ListBox1">
          <controlPr defaultSize="0" autoLine="0" linkedCell="L1" r:id="rId15">
            <anchor moveWithCells="1">
              <from>
                <xdr:col>0</xdr:col>
                <xdr:colOff>0</xdr:colOff>
                <xdr:row>0</xdr:row>
                <xdr:rowOff>0</xdr:rowOff>
              </from>
              <to>
                <xdr:col>3</xdr:col>
                <xdr:colOff>76200</xdr:colOff>
                <xdr:row>27</xdr:row>
                <xdr:rowOff>180975</xdr:rowOff>
              </to>
            </anchor>
          </controlPr>
        </control>
      </mc:Choice>
      <mc:Fallback>
        <control shapeId="3073" r:id="rId14" name="ListBox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EB7D3-3505-4AF5-8562-867699760A79}">
  <sheetPr codeName="Sheet2"/>
  <dimension ref="A1:A52"/>
  <sheetViews>
    <sheetView workbookViewId="0">
      <selection sqref="A1:A1048576"/>
    </sheetView>
  </sheetViews>
  <sheetFormatPr defaultColWidth="9.28515625" defaultRowHeight="15" x14ac:dyDescent="0.25"/>
  <cols>
    <col min="1" max="2" width="11.28515625" customWidth="1"/>
  </cols>
  <sheetData>
    <row r="1" spans="1:1" x14ac:dyDescent="0.25">
      <c r="A1" s="1" t="s">
        <v>0</v>
      </c>
    </row>
    <row r="2" spans="1:1" x14ac:dyDescent="0.25">
      <c r="A2" s="1" t="s">
        <v>432</v>
      </c>
    </row>
    <row r="3" spans="1:1" x14ac:dyDescent="0.25">
      <c r="A3" s="1" t="s">
        <v>433</v>
      </c>
    </row>
    <row r="4" spans="1:1" x14ac:dyDescent="0.25">
      <c r="A4" s="1" t="s">
        <v>434</v>
      </c>
    </row>
    <row r="5" spans="1:1" x14ac:dyDescent="0.25">
      <c r="A5" s="1" t="s">
        <v>435</v>
      </c>
    </row>
    <row r="6" spans="1:1" x14ac:dyDescent="0.25">
      <c r="A6" s="1" t="s">
        <v>436</v>
      </c>
    </row>
    <row r="7" spans="1:1" x14ac:dyDescent="0.25">
      <c r="A7" s="1" t="s">
        <v>437</v>
      </c>
    </row>
    <row r="8" spans="1:1" x14ac:dyDescent="0.25">
      <c r="A8" s="1" t="s">
        <v>438</v>
      </c>
    </row>
    <row r="9" spans="1:1" x14ac:dyDescent="0.25">
      <c r="A9" s="1" t="s">
        <v>439</v>
      </c>
    </row>
    <row r="10" spans="1:1" x14ac:dyDescent="0.25">
      <c r="A10" s="1" t="s">
        <v>440</v>
      </c>
    </row>
    <row r="11" spans="1:1" x14ac:dyDescent="0.25">
      <c r="A11" s="1" t="s">
        <v>441</v>
      </c>
    </row>
    <row r="12" spans="1:1" x14ac:dyDescent="0.25">
      <c r="A12" s="1" t="s">
        <v>442</v>
      </c>
    </row>
    <row r="13" spans="1:1" x14ac:dyDescent="0.25">
      <c r="A13" s="1" t="s">
        <v>443</v>
      </c>
    </row>
    <row r="14" spans="1:1" x14ac:dyDescent="0.25">
      <c r="A14" s="1" t="s">
        <v>444</v>
      </c>
    </row>
    <row r="15" spans="1:1" x14ac:dyDescent="0.25">
      <c r="A15" s="1" t="s">
        <v>445</v>
      </c>
    </row>
    <row r="16" spans="1:1" x14ac:dyDescent="0.25">
      <c r="A16" s="1" t="s">
        <v>446</v>
      </c>
    </row>
    <row r="17" spans="1:1" x14ac:dyDescent="0.25">
      <c r="A17" s="1" t="s">
        <v>447</v>
      </c>
    </row>
    <row r="18" spans="1:1" x14ac:dyDescent="0.25">
      <c r="A18" s="1" t="s">
        <v>479</v>
      </c>
    </row>
    <row r="19" spans="1:1" x14ac:dyDescent="0.25">
      <c r="A19" s="1" t="s">
        <v>448</v>
      </c>
    </row>
    <row r="20" spans="1:1" x14ac:dyDescent="0.25">
      <c r="A20" s="1" t="s">
        <v>449</v>
      </c>
    </row>
    <row r="21" spans="1:1" x14ac:dyDescent="0.25">
      <c r="A21" s="1" t="s">
        <v>450</v>
      </c>
    </row>
    <row r="22" spans="1:1" x14ac:dyDescent="0.25">
      <c r="A22" s="1" t="s">
        <v>480</v>
      </c>
    </row>
    <row r="23" spans="1:1" x14ac:dyDescent="0.25">
      <c r="A23" s="1" t="s">
        <v>451</v>
      </c>
    </row>
    <row r="24" spans="1:1" x14ac:dyDescent="0.25">
      <c r="A24" s="1" t="s">
        <v>452</v>
      </c>
    </row>
    <row r="25" spans="1:1" x14ac:dyDescent="0.25">
      <c r="A25" s="1" t="s">
        <v>453</v>
      </c>
    </row>
    <row r="26" spans="1:1" x14ac:dyDescent="0.25">
      <c r="A26" s="1" t="s">
        <v>454</v>
      </c>
    </row>
    <row r="27" spans="1:1" x14ac:dyDescent="0.25">
      <c r="A27" s="1" t="s">
        <v>455</v>
      </c>
    </row>
    <row r="28" spans="1:1" x14ac:dyDescent="0.25">
      <c r="A28" s="1" t="s">
        <v>456</v>
      </c>
    </row>
    <row r="29" spans="1:1" x14ac:dyDescent="0.25">
      <c r="A29" s="1" t="s">
        <v>457</v>
      </c>
    </row>
    <row r="30" spans="1:1" x14ac:dyDescent="0.25">
      <c r="A30" s="1" t="s">
        <v>458</v>
      </c>
    </row>
    <row r="31" spans="1:1" x14ac:dyDescent="0.25">
      <c r="A31" s="1" t="s">
        <v>459</v>
      </c>
    </row>
    <row r="32" spans="1:1" x14ac:dyDescent="0.25">
      <c r="A32" s="1" t="s">
        <v>460</v>
      </c>
    </row>
    <row r="33" spans="1:1" x14ac:dyDescent="0.25">
      <c r="A33" s="1" t="s">
        <v>461</v>
      </c>
    </row>
    <row r="34" spans="1:1" x14ac:dyDescent="0.25">
      <c r="A34" s="1" t="s">
        <v>462</v>
      </c>
    </row>
    <row r="35" spans="1:1" x14ac:dyDescent="0.25">
      <c r="A35" s="1" t="s">
        <v>463</v>
      </c>
    </row>
    <row r="36" spans="1:1" x14ac:dyDescent="0.25">
      <c r="A36" s="1" t="s">
        <v>464</v>
      </c>
    </row>
    <row r="37" spans="1:1" x14ac:dyDescent="0.25">
      <c r="A37" s="1" t="s">
        <v>465</v>
      </c>
    </row>
    <row r="38" spans="1:1" x14ac:dyDescent="0.25">
      <c r="A38" s="1" t="s">
        <v>466</v>
      </c>
    </row>
    <row r="39" spans="1:1" x14ac:dyDescent="0.25">
      <c r="A39" s="1" t="s">
        <v>481</v>
      </c>
    </row>
    <row r="40" spans="1:1" x14ac:dyDescent="0.25">
      <c r="A40" s="1" t="s">
        <v>467</v>
      </c>
    </row>
    <row r="41" spans="1:1" x14ac:dyDescent="0.25">
      <c r="A41" s="1" t="s">
        <v>468</v>
      </c>
    </row>
    <row r="42" spans="1:1" x14ac:dyDescent="0.25">
      <c r="A42" s="1" t="s">
        <v>469</v>
      </c>
    </row>
    <row r="43" spans="1:1" x14ac:dyDescent="0.25">
      <c r="A43" s="1" t="s">
        <v>470</v>
      </c>
    </row>
    <row r="44" spans="1:1" x14ac:dyDescent="0.25">
      <c r="A44" s="1" t="s">
        <v>471</v>
      </c>
    </row>
    <row r="45" spans="1:1" x14ac:dyDescent="0.25">
      <c r="A45" s="1" t="s">
        <v>472</v>
      </c>
    </row>
    <row r="46" spans="1:1" x14ac:dyDescent="0.25">
      <c r="A46" s="1" t="s">
        <v>473</v>
      </c>
    </row>
    <row r="47" spans="1:1" x14ac:dyDescent="0.25">
      <c r="A47" s="1" t="s">
        <v>482</v>
      </c>
    </row>
    <row r="48" spans="1:1" x14ac:dyDescent="0.25">
      <c r="A48" s="1" t="s">
        <v>474</v>
      </c>
    </row>
    <row r="49" spans="1:1" x14ac:dyDescent="0.25">
      <c r="A49" s="1" t="s">
        <v>475</v>
      </c>
    </row>
    <row r="50" spans="1:1" x14ac:dyDescent="0.25">
      <c r="A50" s="1" t="s">
        <v>476</v>
      </c>
    </row>
    <row r="51" spans="1:1" x14ac:dyDescent="0.25">
      <c r="A51" s="1" t="s">
        <v>477</v>
      </c>
    </row>
    <row r="52" spans="1:1" x14ac:dyDescent="0.25">
      <c r="A52" s="1" t="s">
        <v>203</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ADC1A-B943-4330-B511-9033FA3ABFFE}">
  <sheetPr codeName="Sheet3"/>
  <dimension ref="A1:H7"/>
  <sheetViews>
    <sheetView workbookViewId="0">
      <selection activeCell="K10" sqref="K10"/>
    </sheetView>
  </sheetViews>
  <sheetFormatPr defaultColWidth="17.5703125" defaultRowHeight="15" x14ac:dyDescent="0.25"/>
  <cols>
    <col min="1" max="1" width="18.5703125" style="10" bestFit="1" customWidth="1"/>
    <col min="2" max="3" width="13.85546875" style="10" bestFit="1" customWidth="1"/>
    <col min="4" max="4" width="14.85546875" style="10" bestFit="1" customWidth="1"/>
    <col min="5" max="5" width="13.85546875" style="10" bestFit="1" customWidth="1"/>
    <col min="6" max="6" width="11.140625" style="10" bestFit="1" customWidth="1"/>
    <col min="7" max="7" width="13.140625" style="10" bestFit="1" customWidth="1"/>
    <col min="8" max="8" width="19" style="10" bestFit="1" customWidth="1"/>
    <col min="9" max="9" width="17.5703125" style="10" bestFit="1" customWidth="1"/>
    <col min="10" max="10" width="10.85546875" style="10" bestFit="1" customWidth="1"/>
    <col min="11" max="11" width="11" style="10" bestFit="1" customWidth="1"/>
    <col min="12" max="13" width="11.28515625" style="10" bestFit="1" customWidth="1"/>
    <col min="14" max="16384" width="17.5703125" style="10"/>
  </cols>
  <sheetData>
    <row r="1" spans="1:8" x14ac:dyDescent="0.25">
      <c r="A1" s="3" t="s">
        <v>489</v>
      </c>
      <c r="B1" s="3"/>
      <c r="C1" s="3"/>
      <c r="D1" s="3"/>
      <c r="E1" s="3"/>
    </row>
    <row r="2" spans="1:8" x14ac:dyDescent="0.25">
      <c r="A2" s="3"/>
      <c r="B2" s="3" t="s">
        <v>5</v>
      </c>
      <c r="C2" s="3" t="s">
        <v>202</v>
      </c>
      <c r="D2" s="3" t="s">
        <v>424</v>
      </c>
      <c r="E2" s="3" t="s">
        <v>425</v>
      </c>
      <c r="G2" s="3" t="s">
        <v>426</v>
      </c>
      <c r="H2" s="3" t="s">
        <v>490</v>
      </c>
    </row>
    <row r="3" spans="1:8" x14ac:dyDescent="0.25">
      <c r="A3" s="3" t="s">
        <v>487</v>
      </c>
      <c r="B3" s="5">
        <v>87481221</v>
      </c>
      <c r="C3" s="5"/>
      <c r="D3" s="5"/>
      <c r="E3" s="5"/>
      <c r="G3" s="4" t="s">
        <v>5</v>
      </c>
      <c r="H3" s="6">
        <v>588</v>
      </c>
    </row>
    <row r="4" spans="1:8" x14ac:dyDescent="0.25">
      <c r="A4" s="3" t="s">
        <v>486</v>
      </c>
      <c r="B4" s="5"/>
      <c r="C4" s="5">
        <v>99531666</v>
      </c>
      <c r="D4" s="5"/>
      <c r="E4" s="5"/>
      <c r="G4" s="4" t="s">
        <v>202</v>
      </c>
      <c r="H4" s="6">
        <v>2400</v>
      </c>
    </row>
    <row r="5" spans="1:8" x14ac:dyDescent="0.25">
      <c r="A5" s="3" t="s">
        <v>485</v>
      </c>
      <c r="B5" s="5"/>
      <c r="C5" s="5"/>
      <c r="D5" s="5">
        <v>261100440</v>
      </c>
      <c r="E5" s="5"/>
      <c r="G5" s="4" t="s">
        <v>424</v>
      </c>
      <c r="H5" s="6">
        <v>9840</v>
      </c>
    </row>
    <row r="6" spans="1:8" x14ac:dyDescent="0.25">
      <c r="A6" s="3" t="s">
        <v>484</v>
      </c>
      <c r="B6" s="5"/>
      <c r="C6" s="5"/>
      <c r="D6" s="5"/>
      <c r="E6" s="5">
        <v>29711190</v>
      </c>
      <c r="G6" s="4" t="s">
        <v>425</v>
      </c>
      <c r="H6" s="6">
        <v>2640</v>
      </c>
    </row>
    <row r="7" spans="1:8" x14ac:dyDescent="0.25">
      <c r="G7" s="4" t="s">
        <v>427</v>
      </c>
      <c r="H7" s="6">
        <v>15468</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DA243-67C0-4CAD-B0A8-2CA5A69F3375}">
  <sheetPr codeName="Sheet4"/>
  <dimension ref="A1:D212"/>
  <sheetViews>
    <sheetView workbookViewId="0">
      <selection activeCell="C5" sqref="C5"/>
    </sheetView>
  </sheetViews>
  <sheetFormatPr defaultColWidth="16.42578125" defaultRowHeight="15" x14ac:dyDescent="0.25"/>
  <cols>
    <col min="1" max="1" width="16.42578125" style="1"/>
    <col min="2" max="2" width="10.85546875" style="1" bestFit="1" customWidth="1"/>
    <col min="3" max="3" width="16.28515625" style="1" bestFit="1" customWidth="1"/>
    <col min="4" max="4" width="4.7109375" style="1" bestFit="1" customWidth="1"/>
    <col min="5" max="16384" width="16.42578125" style="1"/>
  </cols>
  <sheetData>
    <row r="1" spans="1:4" x14ac:dyDescent="0.25">
      <c r="C1" s="8" t="s">
        <v>478</v>
      </c>
    </row>
    <row r="2" spans="1:4" x14ac:dyDescent="0.25">
      <c r="A2" s="8" t="s">
        <v>2</v>
      </c>
      <c r="B2" s="8" t="s">
        <v>1</v>
      </c>
      <c r="C2" s="1" t="s">
        <v>428</v>
      </c>
      <c r="D2" s="1" t="s">
        <v>488</v>
      </c>
    </row>
    <row r="3" spans="1:4" x14ac:dyDescent="0.25">
      <c r="A3" s="1" t="s">
        <v>3</v>
      </c>
      <c r="B3" s="1" t="s">
        <v>4</v>
      </c>
      <c r="C3" s="9">
        <v>754</v>
      </c>
      <c r="D3" s="9">
        <v>62</v>
      </c>
    </row>
    <row r="4" spans="1:4" x14ac:dyDescent="0.25">
      <c r="A4" s="1" t="s">
        <v>6</v>
      </c>
      <c r="B4" s="1" t="s">
        <v>54</v>
      </c>
      <c r="C4" s="9">
        <v>1440</v>
      </c>
      <c r="D4" s="9">
        <v>120</v>
      </c>
    </row>
    <row r="5" spans="1:4" x14ac:dyDescent="0.25">
      <c r="A5" s="1" t="s">
        <v>7</v>
      </c>
      <c r="B5" s="1" t="s">
        <v>55</v>
      </c>
      <c r="C5" s="9">
        <v>1383</v>
      </c>
      <c r="D5" s="9">
        <v>115</v>
      </c>
    </row>
    <row r="6" spans="1:4" x14ac:dyDescent="0.25">
      <c r="A6" s="1" t="s">
        <v>8</v>
      </c>
      <c r="B6" s="1" t="s">
        <v>56</v>
      </c>
      <c r="C6" s="9">
        <v>1376</v>
      </c>
      <c r="D6" s="9">
        <v>114</v>
      </c>
    </row>
    <row r="7" spans="1:4" x14ac:dyDescent="0.25">
      <c r="A7" s="1" t="s">
        <v>9</v>
      </c>
      <c r="B7" s="1" t="s">
        <v>57</v>
      </c>
      <c r="C7" s="9">
        <v>826</v>
      </c>
      <c r="D7" s="9">
        <v>68</v>
      </c>
    </row>
    <row r="8" spans="1:4" x14ac:dyDescent="0.25">
      <c r="A8" s="1" t="s">
        <v>10</v>
      </c>
      <c r="B8" s="1" t="s">
        <v>58</v>
      </c>
      <c r="C8" s="9">
        <v>939</v>
      </c>
      <c r="D8" s="9">
        <v>78</v>
      </c>
    </row>
    <row r="9" spans="1:4" x14ac:dyDescent="0.25">
      <c r="A9" s="1" t="s">
        <v>11</v>
      </c>
      <c r="B9" s="1" t="s">
        <v>59</v>
      </c>
      <c r="C9" s="9">
        <v>908</v>
      </c>
      <c r="D9" s="9">
        <v>75</v>
      </c>
    </row>
    <row r="10" spans="1:4" x14ac:dyDescent="0.25">
      <c r="A10" s="1" t="s">
        <v>12</v>
      </c>
      <c r="B10" s="1" t="s">
        <v>60</v>
      </c>
      <c r="C10" s="9">
        <v>675</v>
      </c>
      <c r="D10" s="9">
        <v>56</v>
      </c>
    </row>
    <row r="11" spans="1:4" x14ac:dyDescent="0.25">
      <c r="A11" s="1" t="s">
        <v>13</v>
      </c>
      <c r="B11" s="1" t="s">
        <v>61</v>
      </c>
      <c r="C11" s="9">
        <v>590</v>
      </c>
      <c r="D11" s="9">
        <v>49</v>
      </c>
    </row>
    <row r="12" spans="1:4" x14ac:dyDescent="0.25">
      <c r="A12" s="1" t="s">
        <v>14</v>
      </c>
      <c r="B12" s="1" t="s">
        <v>62</v>
      </c>
      <c r="C12" s="9">
        <v>973</v>
      </c>
      <c r="D12" s="9">
        <v>81</v>
      </c>
    </row>
    <row r="13" spans="1:4" x14ac:dyDescent="0.25">
      <c r="A13" s="1" t="s">
        <v>15</v>
      </c>
      <c r="B13" s="1" t="s">
        <v>63</v>
      </c>
      <c r="C13" s="9">
        <v>608</v>
      </c>
      <c r="D13" s="9">
        <v>50</v>
      </c>
    </row>
    <row r="14" spans="1:4" x14ac:dyDescent="0.25">
      <c r="A14" s="1" t="s">
        <v>16</v>
      </c>
      <c r="B14" s="1" t="s">
        <v>64</v>
      </c>
      <c r="C14" s="9">
        <v>1191</v>
      </c>
      <c r="D14" s="9">
        <v>99</v>
      </c>
    </row>
    <row r="15" spans="1:4" x14ac:dyDescent="0.25">
      <c r="A15" s="1" t="s">
        <v>17</v>
      </c>
      <c r="B15" s="1" t="s">
        <v>65</v>
      </c>
      <c r="C15" s="9">
        <v>336</v>
      </c>
      <c r="D15" s="9">
        <v>28</v>
      </c>
    </row>
    <row r="16" spans="1:4" x14ac:dyDescent="0.25">
      <c r="A16" s="1" t="s">
        <v>18</v>
      </c>
      <c r="B16" s="1" t="s">
        <v>66</v>
      </c>
      <c r="C16" s="9">
        <v>98</v>
      </c>
      <c r="D16" s="9">
        <v>8</v>
      </c>
    </row>
    <row r="17" spans="1:4" x14ac:dyDescent="0.25">
      <c r="A17" s="1" t="s">
        <v>19</v>
      </c>
      <c r="B17" s="1" t="s">
        <v>67</v>
      </c>
      <c r="C17" s="9">
        <v>145</v>
      </c>
      <c r="D17" s="9">
        <v>12</v>
      </c>
    </row>
    <row r="18" spans="1:4" x14ac:dyDescent="0.25">
      <c r="A18" s="1" t="s">
        <v>20</v>
      </c>
      <c r="B18" s="1" t="s">
        <v>68</v>
      </c>
      <c r="C18" s="9">
        <v>823</v>
      </c>
      <c r="D18" s="9">
        <v>68</v>
      </c>
    </row>
    <row r="19" spans="1:4" x14ac:dyDescent="0.25">
      <c r="A19" s="1" t="s">
        <v>21</v>
      </c>
      <c r="B19" s="1" t="s">
        <v>69</v>
      </c>
      <c r="C19" s="9">
        <v>1238</v>
      </c>
      <c r="D19" s="9">
        <v>103</v>
      </c>
    </row>
    <row r="20" spans="1:4" x14ac:dyDescent="0.25">
      <c r="A20" s="1" t="s">
        <v>22</v>
      </c>
      <c r="B20" s="1" t="s">
        <v>70</v>
      </c>
      <c r="C20" s="9">
        <v>624</v>
      </c>
      <c r="D20" s="9">
        <v>52</v>
      </c>
    </row>
    <row r="21" spans="1:4" x14ac:dyDescent="0.25">
      <c r="A21" s="1" t="s">
        <v>23</v>
      </c>
      <c r="B21" s="1" t="s">
        <v>71</v>
      </c>
      <c r="C21" s="9">
        <v>788</v>
      </c>
      <c r="D21" s="9">
        <v>65</v>
      </c>
    </row>
    <row r="22" spans="1:4" x14ac:dyDescent="0.25">
      <c r="A22" s="1" t="s">
        <v>24</v>
      </c>
      <c r="B22" s="1" t="s">
        <v>72</v>
      </c>
      <c r="C22" s="9">
        <v>368</v>
      </c>
      <c r="D22" s="9">
        <v>30</v>
      </c>
    </row>
    <row r="23" spans="1:4" x14ac:dyDescent="0.25">
      <c r="A23" s="1" t="s">
        <v>25</v>
      </c>
      <c r="B23" s="1" t="s">
        <v>73</v>
      </c>
      <c r="C23" s="9">
        <v>281</v>
      </c>
      <c r="D23" s="9">
        <v>23</v>
      </c>
    </row>
    <row r="24" spans="1:4" x14ac:dyDescent="0.25">
      <c r="A24" s="1" t="s">
        <v>26</v>
      </c>
      <c r="B24" s="1" t="s">
        <v>74</v>
      </c>
      <c r="C24" s="9">
        <v>1480</v>
      </c>
      <c r="D24" s="9">
        <v>123</v>
      </c>
    </row>
    <row r="25" spans="1:4" x14ac:dyDescent="0.25">
      <c r="A25" s="1" t="s">
        <v>27</v>
      </c>
      <c r="B25" s="1" t="s">
        <v>75</v>
      </c>
      <c r="C25" s="9">
        <v>1088</v>
      </c>
      <c r="D25" s="9">
        <v>90</v>
      </c>
    </row>
    <row r="26" spans="1:4" x14ac:dyDescent="0.25">
      <c r="A26" s="1" t="s">
        <v>28</v>
      </c>
      <c r="B26" s="1" t="s">
        <v>76</v>
      </c>
      <c r="C26" s="9">
        <v>8</v>
      </c>
      <c r="D26" s="9">
        <v>0</v>
      </c>
    </row>
    <row r="27" spans="1:4" x14ac:dyDescent="0.25">
      <c r="A27" s="1" t="s">
        <v>29</v>
      </c>
      <c r="B27" s="1" t="s">
        <v>77</v>
      </c>
      <c r="C27" s="9">
        <v>82</v>
      </c>
      <c r="D27" s="9">
        <v>6</v>
      </c>
    </row>
    <row r="28" spans="1:4" x14ac:dyDescent="0.25">
      <c r="A28" s="1" t="s">
        <v>30</v>
      </c>
      <c r="B28" s="1" t="s">
        <v>78</v>
      </c>
      <c r="C28" s="9">
        <v>518</v>
      </c>
      <c r="D28" s="9">
        <v>43</v>
      </c>
    </row>
    <row r="29" spans="1:4" x14ac:dyDescent="0.25">
      <c r="A29" s="1" t="s">
        <v>31</v>
      </c>
      <c r="B29" s="1" t="s">
        <v>79</v>
      </c>
      <c r="C29" s="9">
        <v>459</v>
      </c>
      <c r="D29" s="9">
        <v>38</v>
      </c>
    </row>
    <row r="30" spans="1:4" x14ac:dyDescent="0.25">
      <c r="A30" s="1" t="s">
        <v>32</v>
      </c>
      <c r="B30" s="1" t="s">
        <v>80</v>
      </c>
      <c r="C30" s="9">
        <v>305</v>
      </c>
      <c r="D30" s="9">
        <v>25</v>
      </c>
    </row>
    <row r="31" spans="1:4" x14ac:dyDescent="0.25">
      <c r="A31" s="1" t="s">
        <v>33</v>
      </c>
      <c r="B31" s="1" t="s">
        <v>81</v>
      </c>
      <c r="C31" s="9">
        <v>348</v>
      </c>
      <c r="D31" s="9">
        <v>29</v>
      </c>
    </row>
    <row r="32" spans="1:4" x14ac:dyDescent="0.25">
      <c r="A32" s="1" t="s">
        <v>34</v>
      </c>
      <c r="B32" s="1" t="s">
        <v>82</v>
      </c>
      <c r="C32" s="9">
        <v>222</v>
      </c>
      <c r="D32" s="9">
        <v>18</v>
      </c>
    </row>
    <row r="33" spans="1:4" x14ac:dyDescent="0.25">
      <c r="A33" s="1" t="s">
        <v>35</v>
      </c>
      <c r="B33" s="1" t="s">
        <v>83</v>
      </c>
      <c r="C33" s="9">
        <v>729</v>
      </c>
      <c r="D33" s="9">
        <v>60</v>
      </c>
    </row>
    <row r="34" spans="1:4" x14ac:dyDescent="0.25">
      <c r="A34" s="1" t="s">
        <v>36</v>
      </c>
      <c r="B34" s="1" t="s">
        <v>84</v>
      </c>
      <c r="C34" s="9">
        <v>874</v>
      </c>
      <c r="D34" s="9">
        <v>72</v>
      </c>
    </row>
    <row r="35" spans="1:4" x14ac:dyDescent="0.25">
      <c r="A35" s="1" t="s">
        <v>37</v>
      </c>
      <c r="B35" s="1" t="s">
        <v>85</v>
      </c>
      <c r="C35" s="9">
        <v>377</v>
      </c>
      <c r="D35" s="9">
        <v>31</v>
      </c>
    </row>
    <row r="36" spans="1:4" x14ac:dyDescent="0.25">
      <c r="A36" s="1" t="s">
        <v>38</v>
      </c>
      <c r="B36" s="1" t="s">
        <v>86</v>
      </c>
      <c r="C36" s="9">
        <v>1189</v>
      </c>
      <c r="D36" s="9">
        <v>99</v>
      </c>
    </row>
    <row r="37" spans="1:4" x14ac:dyDescent="0.25">
      <c r="A37" s="1" t="s">
        <v>39</v>
      </c>
      <c r="B37" s="1" t="s">
        <v>87</v>
      </c>
      <c r="C37" s="9">
        <v>1006</v>
      </c>
      <c r="D37" s="9">
        <v>83</v>
      </c>
    </row>
    <row r="38" spans="1:4" x14ac:dyDescent="0.25">
      <c r="A38" s="1" t="s">
        <v>40</v>
      </c>
      <c r="B38" s="1" t="s">
        <v>88</v>
      </c>
      <c r="C38" s="9">
        <v>59</v>
      </c>
      <c r="D38" s="9">
        <v>4</v>
      </c>
    </row>
    <row r="39" spans="1:4" x14ac:dyDescent="0.25">
      <c r="A39" s="1" t="s">
        <v>41</v>
      </c>
      <c r="B39" s="1" t="s">
        <v>89</v>
      </c>
      <c r="C39" s="9">
        <v>1087</v>
      </c>
      <c r="D39" s="9">
        <v>90</v>
      </c>
    </row>
    <row r="40" spans="1:4" x14ac:dyDescent="0.25">
      <c r="A40" s="1" t="s">
        <v>42</v>
      </c>
      <c r="B40" s="1" t="s">
        <v>90</v>
      </c>
      <c r="C40" s="9">
        <v>281</v>
      </c>
      <c r="D40" s="9">
        <v>23</v>
      </c>
    </row>
    <row r="41" spans="1:4" x14ac:dyDescent="0.25">
      <c r="A41" s="1" t="s">
        <v>43</v>
      </c>
      <c r="B41" s="1" t="s">
        <v>91</v>
      </c>
      <c r="C41" s="9">
        <v>1125</v>
      </c>
      <c r="D41" s="9">
        <v>93</v>
      </c>
    </row>
    <row r="42" spans="1:4" x14ac:dyDescent="0.25">
      <c r="A42" s="1" t="s">
        <v>44</v>
      </c>
      <c r="B42" s="1" t="s">
        <v>92</v>
      </c>
      <c r="C42" s="9">
        <v>281</v>
      </c>
      <c r="D42" s="9">
        <v>23</v>
      </c>
    </row>
    <row r="43" spans="1:4" x14ac:dyDescent="0.25">
      <c r="A43" s="1" t="s">
        <v>45</v>
      </c>
      <c r="B43" s="1" t="s">
        <v>93</v>
      </c>
      <c r="C43" s="9">
        <v>354</v>
      </c>
      <c r="D43" s="9">
        <v>29</v>
      </c>
    </row>
    <row r="44" spans="1:4" x14ac:dyDescent="0.25">
      <c r="A44" s="1" t="s">
        <v>46</v>
      </c>
      <c r="B44" s="1" t="s">
        <v>94</v>
      </c>
      <c r="C44" s="9">
        <v>649</v>
      </c>
      <c r="D44" s="9">
        <v>54</v>
      </c>
    </row>
    <row r="45" spans="1:4" x14ac:dyDescent="0.25">
      <c r="A45" s="1" t="s">
        <v>47</v>
      </c>
      <c r="B45" s="1" t="s">
        <v>95</v>
      </c>
      <c r="C45" s="9">
        <v>1322</v>
      </c>
      <c r="D45" s="9">
        <v>110</v>
      </c>
    </row>
    <row r="46" spans="1:4" x14ac:dyDescent="0.25">
      <c r="A46" s="1" t="s">
        <v>48</v>
      </c>
      <c r="B46" s="1" t="s">
        <v>96</v>
      </c>
      <c r="C46" s="9">
        <v>1038</v>
      </c>
      <c r="D46" s="9">
        <v>86</v>
      </c>
    </row>
    <row r="47" spans="1:4" x14ac:dyDescent="0.25">
      <c r="A47" s="1" t="s">
        <v>49</v>
      </c>
      <c r="B47" s="1" t="s">
        <v>97</v>
      </c>
      <c r="C47" s="9">
        <v>340</v>
      </c>
      <c r="D47" s="9">
        <v>28</v>
      </c>
    </row>
    <row r="48" spans="1:4" x14ac:dyDescent="0.25">
      <c r="A48" s="1" t="s">
        <v>50</v>
      </c>
      <c r="B48" s="1" t="s">
        <v>98</v>
      </c>
      <c r="C48" s="9">
        <v>399</v>
      </c>
      <c r="D48" s="9">
        <v>33</v>
      </c>
    </row>
    <row r="49" spans="1:4" x14ac:dyDescent="0.25">
      <c r="A49" s="1" t="s">
        <v>51</v>
      </c>
      <c r="B49" s="1" t="s">
        <v>99</v>
      </c>
      <c r="C49" s="9">
        <v>468</v>
      </c>
      <c r="D49" s="9">
        <v>39</v>
      </c>
    </row>
    <row r="50" spans="1:4" x14ac:dyDescent="0.25">
      <c r="A50" s="1" t="s">
        <v>52</v>
      </c>
      <c r="B50" s="1" t="s">
        <v>100</v>
      </c>
      <c r="C50" s="9">
        <v>829</v>
      </c>
      <c r="D50" s="9">
        <v>69</v>
      </c>
    </row>
    <row r="51" spans="1:4" x14ac:dyDescent="0.25">
      <c r="A51" s="1" t="s">
        <v>53</v>
      </c>
      <c r="B51" s="1" t="s">
        <v>101</v>
      </c>
      <c r="C51" s="9">
        <v>1420</v>
      </c>
      <c r="D51" s="9">
        <v>118</v>
      </c>
    </row>
    <row r="52" spans="1:4" x14ac:dyDescent="0.25">
      <c r="A52" s="1" t="s">
        <v>102</v>
      </c>
      <c r="B52" s="1" t="s">
        <v>152</v>
      </c>
      <c r="C52" s="9">
        <v>765</v>
      </c>
      <c r="D52" s="9">
        <v>15</v>
      </c>
    </row>
    <row r="53" spans="1:4" x14ac:dyDescent="0.25">
      <c r="A53" s="1" t="s">
        <v>103</v>
      </c>
      <c r="B53" s="1" t="s">
        <v>153</v>
      </c>
      <c r="C53" s="9">
        <v>916</v>
      </c>
      <c r="D53" s="9">
        <v>19</v>
      </c>
    </row>
    <row r="54" spans="1:4" x14ac:dyDescent="0.25">
      <c r="A54" s="1" t="s">
        <v>104</v>
      </c>
      <c r="B54" s="1" t="s">
        <v>154</v>
      </c>
      <c r="C54" s="9">
        <v>1012</v>
      </c>
      <c r="D54" s="9">
        <v>21</v>
      </c>
    </row>
    <row r="55" spans="1:4" x14ac:dyDescent="0.25">
      <c r="A55" s="1" t="s">
        <v>105</v>
      </c>
      <c r="B55" s="1" t="s">
        <v>155</v>
      </c>
      <c r="C55" s="9">
        <v>299</v>
      </c>
      <c r="D55" s="9">
        <v>6</v>
      </c>
    </row>
    <row r="56" spans="1:4" x14ac:dyDescent="0.25">
      <c r="A56" s="1" t="s">
        <v>106</v>
      </c>
      <c r="B56" s="1" t="s">
        <v>156</v>
      </c>
      <c r="C56" s="9">
        <v>1361</v>
      </c>
      <c r="D56" s="9">
        <v>28</v>
      </c>
    </row>
    <row r="57" spans="1:4" x14ac:dyDescent="0.25">
      <c r="A57" s="1" t="s">
        <v>107</v>
      </c>
      <c r="B57" s="1" t="s">
        <v>157</v>
      </c>
      <c r="C57" s="9">
        <v>621</v>
      </c>
      <c r="D57" s="9">
        <v>12</v>
      </c>
    </row>
    <row r="58" spans="1:4" x14ac:dyDescent="0.25">
      <c r="A58" s="1" t="s">
        <v>108</v>
      </c>
      <c r="B58" s="1" t="s">
        <v>158</v>
      </c>
      <c r="C58" s="9">
        <v>775</v>
      </c>
      <c r="D58" s="9">
        <v>16</v>
      </c>
    </row>
    <row r="59" spans="1:4" x14ac:dyDescent="0.25">
      <c r="A59" s="1" t="s">
        <v>109</v>
      </c>
      <c r="B59" s="1" t="s">
        <v>159</v>
      </c>
      <c r="C59" s="9">
        <v>316</v>
      </c>
      <c r="D59" s="9">
        <v>6</v>
      </c>
    </row>
    <row r="60" spans="1:4" x14ac:dyDescent="0.25">
      <c r="A60" s="1" t="s">
        <v>110</v>
      </c>
      <c r="B60" s="1" t="s">
        <v>160</v>
      </c>
      <c r="C60" s="9">
        <v>553</v>
      </c>
      <c r="D60" s="9">
        <v>11</v>
      </c>
    </row>
    <row r="61" spans="1:4" x14ac:dyDescent="0.25">
      <c r="A61" s="1" t="s">
        <v>111</v>
      </c>
      <c r="B61" s="1" t="s">
        <v>161</v>
      </c>
      <c r="C61" s="9">
        <v>130</v>
      </c>
      <c r="D61" s="9">
        <v>2</v>
      </c>
    </row>
    <row r="62" spans="1:4" x14ac:dyDescent="0.25">
      <c r="A62" s="1" t="s">
        <v>112</v>
      </c>
      <c r="B62" s="1" t="s">
        <v>162</v>
      </c>
      <c r="C62" s="9">
        <v>890</v>
      </c>
      <c r="D62" s="9">
        <v>18</v>
      </c>
    </row>
    <row r="63" spans="1:4" x14ac:dyDescent="0.25">
      <c r="A63" s="1" t="s">
        <v>113</v>
      </c>
      <c r="B63" s="1" t="s">
        <v>163</v>
      </c>
      <c r="C63" s="9">
        <v>255</v>
      </c>
      <c r="D63" s="9">
        <v>5</v>
      </c>
    </row>
    <row r="64" spans="1:4" x14ac:dyDescent="0.25">
      <c r="A64" s="1" t="s">
        <v>114</v>
      </c>
      <c r="B64" s="1" t="s">
        <v>164</v>
      </c>
      <c r="C64" s="9">
        <v>1368</v>
      </c>
      <c r="D64" s="9">
        <v>28</v>
      </c>
    </row>
    <row r="65" spans="1:4" x14ac:dyDescent="0.25">
      <c r="A65" s="1" t="s">
        <v>115</v>
      </c>
      <c r="B65" s="1" t="s">
        <v>165</v>
      </c>
      <c r="C65" s="9">
        <v>324</v>
      </c>
      <c r="D65" s="9">
        <v>6</v>
      </c>
    </row>
    <row r="66" spans="1:4" x14ac:dyDescent="0.25">
      <c r="A66" s="1" t="s">
        <v>116</v>
      </c>
      <c r="B66" s="1" t="s">
        <v>166</v>
      </c>
      <c r="C66" s="9">
        <v>997</v>
      </c>
      <c r="D66" s="9">
        <v>20</v>
      </c>
    </row>
    <row r="67" spans="1:4" x14ac:dyDescent="0.25">
      <c r="A67" s="1" t="s">
        <v>117</v>
      </c>
      <c r="B67" s="1" t="s">
        <v>167</v>
      </c>
      <c r="C67" s="9">
        <v>87</v>
      </c>
      <c r="D67" s="9">
        <v>1</v>
      </c>
    </row>
    <row r="68" spans="1:4" x14ac:dyDescent="0.25">
      <c r="A68" s="1" t="s">
        <v>118</v>
      </c>
      <c r="B68" s="1" t="s">
        <v>168</v>
      </c>
      <c r="C68" s="9">
        <v>1436</v>
      </c>
      <c r="D68" s="9">
        <v>29</v>
      </c>
    </row>
    <row r="69" spans="1:4" x14ac:dyDescent="0.25">
      <c r="A69" s="1" t="s">
        <v>119</v>
      </c>
      <c r="B69" s="1" t="s">
        <v>169</v>
      </c>
      <c r="C69" s="9">
        <v>1007</v>
      </c>
      <c r="D69" s="9">
        <v>20</v>
      </c>
    </row>
    <row r="70" spans="1:4" x14ac:dyDescent="0.25">
      <c r="A70" s="1" t="s">
        <v>120</v>
      </c>
      <c r="B70" s="1" t="s">
        <v>170</v>
      </c>
      <c r="C70" s="9">
        <v>904</v>
      </c>
      <c r="D70" s="9">
        <v>18</v>
      </c>
    </row>
    <row r="71" spans="1:4" x14ac:dyDescent="0.25">
      <c r="A71" s="1" t="s">
        <v>121</v>
      </c>
      <c r="B71" s="1" t="s">
        <v>171</v>
      </c>
      <c r="C71" s="9">
        <v>432</v>
      </c>
      <c r="D71" s="9">
        <v>9</v>
      </c>
    </row>
    <row r="72" spans="1:4" x14ac:dyDescent="0.25">
      <c r="A72" s="1" t="s">
        <v>122</v>
      </c>
      <c r="B72" s="1" t="s">
        <v>172</v>
      </c>
      <c r="C72" s="9">
        <v>515</v>
      </c>
      <c r="D72" s="9">
        <v>10</v>
      </c>
    </row>
    <row r="73" spans="1:4" x14ac:dyDescent="0.25">
      <c r="A73" s="1" t="s">
        <v>123</v>
      </c>
      <c r="B73" s="1" t="s">
        <v>173</v>
      </c>
      <c r="C73" s="9">
        <v>928</v>
      </c>
      <c r="D73" s="9">
        <v>19</v>
      </c>
    </row>
    <row r="74" spans="1:4" x14ac:dyDescent="0.25">
      <c r="A74" s="1" t="s">
        <v>124</v>
      </c>
      <c r="B74" s="1" t="s">
        <v>174</v>
      </c>
      <c r="C74" s="9">
        <v>565</v>
      </c>
      <c r="D74" s="9">
        <v>11</v>
      </c>
    </row>
    <row r="75" spans="1:4" x14ac:dyDescent="0.25">
      <c r="A75" s="1" t="s">
        <v>125</v>
      </c>
      <c r="B75" s="1" t="s">
        <v>175</v>
      </c>
      <c r="C75" s="9">
        <v>286</v>
      </c>
      <c r="D75" s="9">
        <v>5</v>
      </c>
    </row>
    <row r="76" spans="1:4" x14ac:dyDescent="0.25">
      <c r="A76" s="1" t="s">
        <v>126</v>
      </c>
      <c r="B76" s="1" t="s">
        <v>176</v>
      </c>
      <c r="C76" s="9">
        <v>931</v>
      </c>
      <c r="D76" s="9">
        <v>19</v>
      </c>
    </row>
    <row r="77" spans="1:4" x14ac:dyDescent="0.25">
      <c r="A77" s="1" t="s">
        <v>127</v>
      </c>
      <c r="B77" s="1" t="s">
        <v>177</v>
      </c>
      <c r="C77" s="9">
        <v>1045</v>
      </c>
      <c r="D77" s="9">
        <v>21</v>
      </c>
    </row>
    <row r="78" spans="1:4" x14ac:dyDescent="0.25">
      <c r="A78" s="1" t="s">
        <v>128</v>
      </c>
      <c r="B78" s="1" t="s">
        <v>178</v>
      </c>
      <c r="C78" s="9">
        <v>1180</v>
      </c>
      <c r="D78" s="9">
        <v>24</v>
      </c>
    </row>
    <row r="79" spans="1:4" x14ac:dyDescent="0.25">
      <c r="A79" s="1" t="s">
        <v>129</v>
      </c>
      <c r="B79" s="1" t="s">
        <v>179</v>
      </c>
      <c r="C79" s="9">
        <v>804</v>
      </c>
      <c r="D79" s="9">
        <v>16</v>
      </c>
    </row>
    <row r="80" spans="1:4" x14ac:dyDescent="0.25">
      <c r="A80" s="1" t="s">
        <v>130</v>
      </c>
      <c r="B80" s="1" t="s">
        <v>180</v>
      </c>
      <c r="C80" s="9">
        <v>428</v>
      </c>
      <c r="D80" s="9">
        <v>8</v>
      </c>
    </row>
    <row r="81" spans="1:4" x14ac:dyDescent="0.25">
      <c r="A81" s="1" t="s">
        <v>131</v>
      </c>
      <c r="B81" s="1" t="s">
        <v>181</v>
      </c>
      <c r="C81" s="9">
        <v>657</v>
      </c>
      <c r="D81" s="9">
        <v>13</v>
      </c>
    </row>
    <row r="82" spans="1:4" x14ac:dyDescent="0.25">
      <c r="A82" s="1" t="s">
        <v>132</v>
      </c>
      <c r="B82" s="1" t="s">
        <v>182</v>
      </c>
      <c r="C82" s="9">
        <v>1289</v>
      </c>
      <c r="D82" s="9">
        <v>26</v>
      </c>
    </row>
    <row r="83" spans="1:4" x14ac:dyDescent="0.25">
      <c r="A83" s="1" t="s">
        <v>133</v>
      </c>
      <c r="B83" s="1" t="s">
        <v>183</v>
      </c>
      <c r="C83" s="9">
        <v>1227</v>
      </c>
      <c r="D83" s="9">
        <v>25</v>
      </c>
    </row>
    <row r="84" spans="1:4" x14ac:dyDescent="0.25">
      <c r="A84" s="1" t="s">
        <v>134</v>
      </c>
      <c r="B84" s="1" t="s">
        <v>184</v>
      </c>
      <c r="C84" s="9">
        <v>1376</v>
      </c>
      <c r="D84" s="9">
        <v>28</v>
      </c>
    </row>
    <row r="85" spans="1:4" x14ac:dyDescent="0.25">
      <c r="A85" s="1" t="s">
        <v>135</v>
      </c>
      <c r="B85" s="1" t="s">
        <v>185</v>
      </c>
      <c r="C85" s="9">
        <v>436</v>
      </c>
      <c r="D85" s="9">
        <v>9</v>
      </c>
    </row>
    <row r="86" spans="1:4" x14ac:dyDescent="0.25">
      <c r="A86" s="1" t="s">
        <v>136</v>
      </c>
      <c r="B86" s="1" t="s">
        <v>186</v>
      </c>
      <c r="C86" s="9">
        <v>1340</v>
      </c>
      <c r="D86" s="9">
        <v>27</v>
      </c>
    </row>
    <row r="87" spans="1:4" x14ac:dyDescent="0.25">
      <c r="A87" s="1" t="s">
        <v>137</v>
      </c>
      <c r="B87" s="1" t="s">
        <v>187</v>
      </c>
      <c r="C87" s="9">
        <v>1218</v>
      </c>
      <c r="D87" s="9">
        <v>25</v>
      </c>
    </row>
    <row r="88" spans="1:4" x14ac:dyDescent="0.25">
      <c r="A88" s="1" t="s">
        <v>138</v>
      </c>
      <c r="B88" s="1" t="s">
        <v>188</v>
      </c>
      <c r="C88" s="9">
        <v>848</v>
      </c>
      <c r="D88" s="9">
        <v>17</v>
      </c>
    </row>
    <row r="89" spans="1:4" x14ac:dyDescent="0.25">
      <c r="A89" s="1" t="s">
        <v>139</v>
      </c>
      <c r="B89" s="1" t="s">
        <v>189</v>
      </c>
      <c r="C89" s="9">
        <v>1490</v>
      </c>
      <c r="D89" s="9">
        <v>31</v>
      </c>
    </row>
    <row r="90" spans="1:4" x14ac:dyDescent="0.25">
      <c r="A90" s="1" t="s">
        <v>140</v>
      </c>
      <c r="B90" s="1" t="s">
        <v>190</v>
      </c>
      <c r="C90" s="9">
        <v>1162</v>
      </c>
      <c r="D90" s="9">
        <v>24</v>
      </c>
    </row>
    <row r="91" spans="1:4" x14ac:dyDescent="0.25">
      <c r="A91" s="1" t="s">
        <v>141</v>
      </c>
      <c r="B91" s="1" t="s">
        <v>191</v>
      </c>
      <c r="C91" s="9">
        <v>431</v>
      </c>
      <c r="D91" s="9">
        <v>8</v>
      </c>
    </row>
    <row r="92" spans="1:4" x14ac:dyDescent="0.25">
      <c r="A92" s="1" t="s">
        <v>142</v>
      </c>
      <c r="B92" s="1" t="s">
        <v>192</v>
      </c>
      <c r="C92" s="9">
        <v>496</v>
      </c>
      <c r="D92" s="9">
        <v>10</v>
      </c>
    </row>
    <row r="93" spans="1:4" x14ac:dyDescent="0.25">
      <c r="A93" s="1" t="s">
        <v>143</v>
      </c>
      <c r="B93" s="1" t="s">
        <v>193</v>
      </c>
      <c r="C93" s="9">
        <v>1340</v>
      </c>
      <c r="D93" s="9">
        <v>27</v>
      </c>
    </row>
    <row r="94" spans="1:4" x14ac:dyDescent="0.25">
      <c r="A94" s="1" t="s">
        <v>144</v>
      </c>
      <c r="B94" s="1" t="s">
        <v>194</v>
      </c>
      <c r="C94" s="9">
        <v>175</v>
      </c>
      <c r="D94" s="9">
        <v>3</v>
      </c>
    </row>
    <row r="95" spans="1:4" x14ac:dyDescent="0.25">
      <c r="A95" s="1" t="s">
        <v>145</v>
      </c>
      <c r="B95" s="1" t="s">
        <v>195</v>
      </c>
      <c r="C95" s="9">
        <v>1164</v>
      </c>
      <c r="D95" s="9">
        <v>24</v>
      </c>
    </row>
    <row r="96" spans="1:4" x14ac:dyDescent="0.25">
      <c r="A96" s="1" t="s">
        <v>146</v>
      </c>
      <c r="B96" s="1" t="s">
        <v>196</v>
      </c>
      <c r="C96" s="9">
        <v>610</v>
      </c>
      <c r="D96" s="9">
        <v>12</v>
      </c>
    </row>
    <row r="97" spans="1:4" x14ac:dyDescent="0.25">
      <c r="A97" s="1" t="s">
        <v>147</v>
      </c>
      <c r="B97" s="1" t="s">
        <v>197</v>
      </c>
      <c r="C97" s="9">
        <v>26</v>
      </c>
      <c r="D97" s="9">
        <v>0</v>
      </c>
    </row>
    <row r="98" spans="1:4" x14ac:dyDescent="0.25">
      <c r="A98" s="1" t="s">
        <v>148</v>
      </c>
      <c r="B98" s="1" t="s">
        <v>198</v>
      </c>
      <c r="C98" s="9">
        <v>122</v>
      </c>
      <c r="D98" s="9">
        <v>2</v>
      </c>
    </row>
    <row r="99" spans="1:4" x14ac:dyDescent="0.25">
      <c r="A99" s="1" t="s">
        <v>149</v>
      </c>
      <c r="B99" s="1" t="s">
        <v>199</v>
      </c>
      <c r="C99" s="9">
        <v>154</v>
      </c>
      <c r="D99" s="9">
        <v>3</v>
      </c>
    </row>
    <row r="100" spans="1:4" x14ac:dyDescent="0.25">
      <c r="A100" s="1" t="s">
        <v>150</v>
      </c>
      <c r="B100" s="1" t="s">
        <v>200</v>
      </c>
      <c r="C100" s="9">
        <v>1050</v>
      </c>
      <c r="D100" s="9">
        <v>21</v>
      </c>
    </row>
    <row r="101" spans="1:4" x14ac:dyDescent="0.25">
      <c r="A101" s="1" t="s">
        <v>151</v>
      </c>
      <c r="B101" s="1" t="s">
        <v>201</v>
      </c>
      <c r="C101" s="9">
        <v>1337</v>
      </c>
      <c r="D101" s="9">
        <v>27</v>
      </c>
    </row>
    <row r="102" spans="1:4" x14ac:dyDescent="0.25">
      <c r="A102" s="1" t="s">
        <v>204</v>
      </c>
      <c r="B102" s="1" t="s">
        <v>205</v>
      </c>
      <c r="C102" s="9">
        <v>330</v>
      </c>
      <c r="D102" s="9">
        <v>2</v>
      </c>
    </row>
    <row r="103" spans="1:4" x14ac:dyDescent="0.25">
      <c r="A103" s="1" t="s">
        <v>206</v>
      </c>
      <c r="B103" s="1" t="s">
        <v>207</v>
      </c>
      <c r="C103" s="9">
        <v>737</v>
      </c>
      <c r="D103" s="9">
        <v>6</v>
      </c>
    </row>
    <row r="104" spans="1:4" x14ac:dyDescent="0.25">
      <c r="A104" s="1" t="s">
        <v>208</v>
      </c>
      <c r="B104" s="1" t="s">
        <v>209</v>
      </c>
      <c r="C104" s="9">
        <v>811</v>
      </c>
      <c r="D104" s="9">
        <v>6</v>
      </c>
    </row>
    <row r="105" spans="1:4" x14ac:dyDescent="0.25">
      <c r="A105" s="1" t="s">
        <v>210</v>
      </c>
      <c r="B105" s="1" t="s">
        <v>211</v>
      </c>
      <c r="C105" s="9">
        <v>533</v>
      </c>
      <c r="D105" s="9">
        <v>4</v>
      </c>
    </row>
    <row r="106" spans="1:4" x14ac:dyDescent="0.25">
      <c r="A106" s="1" t="s">
        <v>212</v>
      </c>
      <c r="B106" s="1" t="s">
        <v>213</v>
      </c>
      <c r="C106" s="9">
        <v>1484</v>
      </c>
      <c r="D106" s="9">
        <v>12</v>
      </c>
    </row>
    <row r="107" spans="1:4" x14ac:dyDescent="0.25">
      <c r="A107" s="1" t="s">
        <v>214</v>
      </c>
      <c r="B107" s="1" t="s">
        <v>215</v>
      </c>
      <c r="C107" s="9">
        <v>521</v>
      </c>
      <c r="D107" s="9">
        <v>4</v>
      </c>
    </row>
    <row r="108" spans="1:4" x14ac:dyDescent="0.25">
      <c r="A108" s="1" t="s">
        <v>216</v>
      </c>
      <c r="B108" s="1" t="s">
        <v>217</v>
      </c>
      <c r="C108" s="9">
        <v>240</v>
      </c>
      <c r="D108" s="9">
        <v>2</v>
      </c>
    </row>
    <row r="109" spans="1:4" x14ac:dyDescent="0.25">
      <c r="A109" s="1" t="s">
        <v>218</v>
      </c>
      <c r="B109" s="1" t="s">
        <v>219</v>
      </c>
      <c r="C109" s="9">
        <v>946</v>
      </c>
      <c r="D109" s="9">
        <v>7</v>
      </c>
    </row>
    <row r="110" spans="1:4" x14ac:dyDescent="0.25">
      <c r="A110" s="1" t="s">
        <v>220</v>
      </c>
      <c r="B110" s="1" t="s">
        <v>221</v>
      </c>
      <c r="C110" s="9">
        <v>1447</v>
      </c>
      <c r="D110" s="9">
        <v>12</v>
      </c>
    </row>
    <row r="111" spans="1:4" x14ac:dyDescent="0.25">
      <c r="A111" s="1" t="s">
        <v>222</v>
      </c>
      <c r="B111" s="1" t="s">
        <v>223</v>
      </c>
      <c r="C111" s="9">
        <v>489</v>
      </c>
      <c r="D111" s="9">
        <v>4</v>
      </c>
    </row>
    <row r="112" spans="1:4" x14ac:dyDescent="0.25">
      <c r="A112" s="1" t="s">
        <v>224</v>
      </c>
      <c r="B112" s="1" t="s">
        <v>225</v>
      </c>
      <c r="C112" s="9">
        <v>641</v>
      </c>
      <c r="D112" s="9">
        <v>5</v>
      </c>
    </row>
    <row r="113" spans="1:4" x14ac:dyDescent="0.25">
      <c r="A113" s="1" t="s">
        <v>226</v>
      </c>
      <c r="B113" s="1" t="s">
        <v>227</v>
      </c>
      <c r="C113" s="9">
        <v>790</v>
      </c>
      <c r="D113" s="9">
        <v>6</v>
      </c>
    </row>
    <row r="114" spans="1:4" x14ac:dyDescent="0.25">
      <c r="A114" s="1" t="s">
        <v>228</v>
      </c>
      <c r="B114" s="1" t="s">
        <v>229</v>
      </c>
      <c r="C114" s="9">
        <v>1153</v>
      </c>
      <c r="D114" s="9">
        <v>9</v>
      </c>
    </row>
    <row r="115" spans="1:4" x14ac:dyDescent="0.25">
      <c r="A115" s="1" t="s">
        <v>230</v>
      </c>
      <c r="B115" s="1" t="s">
        <v>231</v>
      </c>
      <c r="C115" s="9">
        <v>983</v>
      </c>
      <c r="D115" s="9">
        <v>8</v>
      </c>
    </row>
    <row r="116" spans="1:4" x14ac:dyDescent="0.25">
      <c r="A116" s="1" t="s">
        <v>232</v>
      </c>
      <c r="B116" s="1" t="s">
        <v>233</v>
      </c>
      <c r="C116" s="9">
        <v>853</v>
      </c>
      <c r="D116" s="9">
        <v>7</v>
      </c>
    </row>
    <row r="117" spans="1:4" x14ac:dyDescent="0.25">
      <c r="A117" s="1" t="s">
        <v>234</v>
      </c>
      <c r="B117" s="1" t="s">
        <v>235</v>
      </c>
      <c r="C117" s="9">
        <v>356</v>
      </c>
      <c r="D117" s="9">
        <v>2</v>
      </c>
    </row>
    <row r="118" spans="1:4" x14ac:dyDescent="0.25">
      <c r="A118" s="1" t="s">
        <v>236</v>
      </c>
      <c r="B118" s="1" t="s">
        <v>237</v>
      </c>
      <c r="C118" s="9">
        <v>556</v>
      </c>
      <c r="D118" s="9">
        <v>4</v>
      </c>
    </row>
    <row r="119" spans="1:4" x14ac:dyDescent="0.25">
      <c r="A119" s="1" t="s">
        <v>238</v>
      </c>
      <c r="B119" s="1" t="s">
        <v>239</v>
      </c>
      <c r="C119" s="9">
        <v>768</v>
      </c>
      <c r="D119" s="9">
        <v>6</v>
      </c>
    </row>
    <row r="120" spans="1:4" x14ac:dyDescent="0.25">
      <c r="A120" s="1" t="s">
        <v>240</v>
      </c>
      <c r="B120" s="1" t="s">
        <v>241</v>
      </c>
      <c r="C120" s="9">
        <v>582</v>
      </c>
      <c r="D120" s="9">
        <v>4</v>
      </c>
    </row>
    <row r="121" spans="1:4" x14ac:dyDescent="0.25">
      <c r="A121" s="1" t="s">
        <v>242</v>
      </c>
      <c r="B121" s="1" t="s">
        <v>243</v>
      </c>
      <c r="C121" s="9">
        <v>467</v>
      </c>
      <c r="D121" s="9">
        <v>3</v>
      </c>
    </row>
    <row r="122" spans="1:4" x14ac:dyDescent="0.25">
      <c r="A122" s="1" t="s">
        <v>244</v>
      </c>
      <c r="B122" s="1" t="s">
        <v>245</v>
      </c>
      <c r="C122" s="9">
        <v>47</v>
      </c>
      <c r="D122" s="9">
        <v>0</v>
      </c>
    </row>
    <row r="123" spans="1:4" x14ac:dyDescent="0.25">
      <c r="A123" s="1" t="s">
        <v>246</v>
      </c>
      <c r="B123" s="1" t="s">
        <v>247</v>
      </c>
      <c r="C123" s="9">
        <v>463</v>
      </c>
      <c r="D123" s="9">
        <v>3</v>
      </c>
    </row>
    <row r="124" spans="1:4" x14ac:dyDescent="0.25">
      <c r="A124" s="1" t="s">
        <v>248</v>
      </c>
      <c r="B124" s="1" t="s">
        <v>249</v>
      </c>
      <c r="C124" s="9">
        <v>1434</v>
      </c>
      <c r="D124" s="9">
        <v>11</v>
      </c>
    </row>
    <row r="125" spans="1:4" x14ac:dyDescent="0.25">
      <c r="A125" s="1" t="s">
        <v>250</v>
      </c>
      <c r="B125" s="1" t="s">
        <v>251</v>
      </c>
      <c r="C125" s="9">
        <v>399</v>
      </c>
      <c r="D125" s="9">
        <v>3</v>
      </c>
    </row>
    <row r="126" spans="1:4" x14ac:dyDescent="0.25">
      <c r="A126" s="1" t="s">
        <v>252</v>
      </c>
      <c r="B126" s="1" t="s">
        <v>253</v>
      </c>
      <c r="C126" s="9">
        <v>910</v>
      </c>
      <c r="D126" s="9">
        <v>7</v>
      </c>
    </row>
    <row r="127" spans="1:4" x14ac:dyDescent="0.25">
      <c r="A127" s="1" t="s">
        <v>254</v>
      </c>
      <c r="B127" s="1" t="s">
        <v>255</v>
      </c>
      <c r="C127" s="9">
        <v>710</v>
      </c>
      <c r="D127" s="9">
        <v>5</v>
      </c>
    </row>
    <row r="128" spans="1:4" x14ac:dyDescent="0.25">
      <c r="A128" s="1" t="s">
        <v>256</v>
      </c>
      <c r="B128" s="1" t="s">
        <v>257</v>
      </c>
      <c r="C128" s="9">
        <v>977</v>
      </c>
      <c r="D128" s="9">
        <v>8</v>
      </c>
    </row>
    <row r="129" spans="1:4" x14ac:dyDescent="0.25">
      <c r="A129" s="1" t="s">
        <v>258</v>
      </c>
      <c r="B129" s="1" t="s">
        <v>259</v>
      </c>
      <c r="C129" s="9">
        <v>592</v>
      </c>
      <c r="D129" s="9">
        <v>4</v>
      </c>
    </row>
    <row r="130" spans="1:4" x14ac:dyDescent="0.25">
      <c r="A130" s="1" t="s">
        <v>260</v>
      </c>
      <c r="B130" s="1" t="s">
        <v>261</v>
      </c>
      <c r="C130" s="9">
        <v>576</v>
      </c>
      <c r="D130" s="9">
        <v>4</v>
      </c>
    </row>
    <row r="131" spans="1:4" x14ac:dyDescent="0.25">
      <c r="A131" s="1" t="s">
        <v>262</v>
      </c>
      <c r="B131" s="1" t="s">
        <v>263</v>
      </c>
      <c r="C131" s="9">
        <v>565</v>
      </c>
      <c r="D131" s="9">
        <v>4</v>
      </c>
    </row>
    <row r="132" spans="1:4" x14ac:dyDescent="0.25">
      <c r="A132" s="1" t="s">
        <v>264</v>
      </c>
      <c r="B132" s="1" t="s">
        <v>265</v>
      </c>
      <c r="C132" s="9">
        <v>931</v>
      </c>
      <c r="D132" s="9">
        <v>7</v>
      </c>
    </row>
    <row r="133" spans="1:4" x14ac:dyDescent="0.25">
      <c r="A133" s="1" t="s">
        <v>266</v>
      </c>
      <c r="B133" s="1" t="s">
        <v>267</v>
      </c>
      <c r="C133" s="9">
        <v>791</v>
      </c>
      <c r="D133" s="9">
        <v>6</v>
      </c>
    </row>
    <row r="134" spans="1:4" x14ac:dyDescent="0.25">
      <c r="A134" s="1" t="s">
        <v>268</v>
      </c>
      <c r="B134" s="1" t="s">
        <v>269</v>
      </c>
      <c r="C134" s="9">
        <v>274</v>
      </c>
      <c r="D134" s="9">
        <v>2</v>
      </c>
    </row>
    <row r="135" spans="1:4" x14ac:dyDescent="0.25">
      <c r="A135" s="1" t="s">
        <v>270</v>
      </c>
      <c r="B135" s="1" t="s">
        <v>271</v>
      </c>
      <c r="C135" s="9">
        <v>640</v>
      </c>
      <c r="D135" s="9">
        <v>5</v>
      </c>
    </row>
    <row r="136" spans="1:4" x14ac:dyDescent="0.25">
      <c r="A136" s="1" t="s">
        <v>272</v>
      </c>
      <c r="B136" s="1" t="s">
        <v>273</v>
      </c>
      <c r="C136" s="9">
        <v>1239</v>
      </c>
      <c r="D136" s="9">
        <v>10</v>
      </c>
    </row>
    <row r="137" spans="1:4" x14ac:dyDescent="0.25">
      <c r="A137" s="1" t="s">
        <v>274</v>
      </c>
      <c r="B137" s="1" t="s">
        <v>275</v>
      </c>
      <c r="C137" s="9">
        <v>359</v>
      </c>
      <c r="D137" s="9">
        <v>2</v>
      </c>
    </row>
    <row r="138" spans="1:4" x14ac:dyDescent="0.25">
      <c r="A138" s="1" t="s">
        <v>276</v>
      </c>
      <c r="B138" s="1" t="s">
        <v>277</v>
      </c>
      <c r="C138" s="9">
        <v>495</v>
      </c>
      <c r="D138" s="9">
        <v>4</v>
      </c>
    </row>
    <row r="139" spans="1:4" x14ac:dyDescent="0.25">
      <c r="A139" s="1" t="s">
        <v>278</v>
      </c>
      <c r="B139" s="1" t="s">
        <v>279</v>
      </c>
      <c r="C139" s="9">
        <v>481</v>
      </c>
      <c r="D139" s="9">
        <v>4</v>
      </c>
    </row>
    <row r="140" spans="1:4" x14ac:dyDescent="0.25">
      <c r="A140" s="1" t="s">
        <v>280</v>
      </c>
      <c r="B140" s="1" t="s">
        <v>281</v>
      </c>
      <c r="C140" s="9">
        <v>872</v>
      </c>
      <c r="D140" s="9">
        <v>7</v>
      </c>
    </row>
    <row r="141" spans="1:4" x14ac:dyDescent="0.25">
      <c r="A141" s="1" t="s">
        <v>282</v>
      </c>
      <c r="B141" s="1" t="s">
        <v>283</v>
      </c>
      <c r="C141" s="9">
        <v>864</v>
      </c>
      <c r="D141" s="9">
        <v>7</v>
      </c>
    </row>
    <row r="142" spans="1:4" x14ac:dyDescent="0.25">
      <c r="A142" s="1" t="s">
        <v>284</v>
      </c>
      <c r="B142" s="1" t="s">
        <v>285</v>
      </c>
      <c r="C142" s="9">
        <v>1498</v>
      </c>
      <c r="D142" s="9">
        <v>12</v>
      </c>
    </row>
    <row r="143" spans="1:4" x14ac:dyDescent="0.25">
      <c r="A143" s="1" t="s">
        <v>286</v>
      </c>
      <c r="B143" s="1" t="s">
        <v>287</v>
      </c>
      <c r="C143" s="9">
        <v>254</v>
      </c>
      <c r="D143" s="9">
        <v>2</v>
      </c>
    </row>
    <row r="144" spans="1:4" x14ac:dyDescent="0.25">
      <c r="A144" s="1" t="s">
        <v>288</v>
      </c>
      <c r="B144" s="1" t="s">
        <v>289</v>
      </c>
      <c r="C144" s="9">
        <v>145</v>
      </c>
      <c r="D144" s="9">
        <v>1</v>
      </c>
    </row>
    <row r="145" spans="1:4" x14ac:dyDescent="0.25">
      <c r="A145" s="1" t="s">
        <v>290</v>
      </c>
      <c r="B145" s="1" t="s">
        <v>291</v>
      </c>
      <c r="C145" s="9">
        <v>193</v>
      </c>
      <c r="D145" s="9">
        <v>1</v>
      </c>
    </row>
    <row r="146" spans="1:4" x14ac:dyDescent="0.25">
      <c r="A146" s="1" t="s">
        <v>292</v>
      </c>
      <c r="B146" s="1" t="s">
        <v>293</v>
      </c>
      <c r="C146" s="9">
        <v>1478</v>
      </c>
      <c r="D146" s="9">
        <v>12</v>
      </c>
    </row>
    <row r="147" spans="1:4" x14ac:dyDescent="0.25">
      <c r="A147" s="1" t="s">
        <v>294</v>
      </c>
      <c r="B147" s="1" t="s">
        <v>295</v>
      </c>
      <c r="C147" s="9">
        <v>958</v>
      </c>
      <c r="D147" s="9">
        <v>7</v>
      </c>
    </row>
    <row r="148" spans="1:4" x14ac:dyDescent="0.25">
      <c r="A148" s="1" t="s">
        <v>296</v>
      </c>
      <c r="B148" s="1" t="s">
        <v>297</v>
      </c>
      <c r="C148" s="9">
        <v>1327</v>
      </c>
      <c r="D148" s="9">
        <v>11</v>
      </c>
    </row>
    <row r="149" spans="1:4" x14ac:dyDescent="0.25">
      <c r="A149" s="1" t="s">
        <v>298</v>
      </c>
      <c r="B149" s="1" t="s">
        <v>299</v>
      </c>
      <c r="C149" s="9">
        <v>1297</v>
      </c>
      <c r="D149" s="9">
        <v>10</v>
      </c>
    </row>
    <row r="150" spans="1:4" x14ac:dyDescent="0.25">
      <c r="A150" s="1" t="s">
        <v>300</v>
      </c>
      <c r="B150" s="1" t="s">
        <v>301</v>
      </c>
      <c r="C150" s="9">
        <v>284</v>
      </c>
      <c r="D150" s="9">
        <v>2</v>
      </c>
    </row>
    <row r="151" spans="1:4" x14ac:dyDescent="0.25">
      <c r="A151" s="1" t="s">
        <v>302</v>
      </c>
      <c r="B151" s="1" t="s">
        <v>303</v>
      </c>
      <c r="C151" s="9">
        <v>177</v>
      </c>
      <c r="D151" s="9">
        <v>1</v>
      </c>
    </row>
    <row r="152" spans="1:4" x14ac:dyDescent="0.25">
      <c r="A152" s="1" t="s">
        <v>304</v>
      </c>
      <c r="B152" s="1" t="s">
        <v>305</v>
      </c>
      <c r="C152" s="9">
        <v>1288</v>
      </c>
      <c r="D152" s="9">
        <v>10</v>
      </c>
    </row>
    <row r="153" spans="1:4" x14ac:dyDescent="0.25">
      <c r="A153" s="1" t="s">
        <v>306</v>
      </c>
      <c r="B153" s="1" t="s">
        <v>307</v>
      </c>
      <c r="C153" s="9">
        <v>1050</v>
      </c>
      <c r="D153" s="9">
        <v>8</v>
      </c>
    </row>
    <row r="154" spans="1:4" x14ac:dyDescent="0.25">
      <c r="A154" s="1" t="s">
        <v>308</v>
      </c>
      <c r="B154" s="1" t="s">
        <v>309</v>
      </c>
      <c r="C154" s="9">
        <v>686</v>
      </c>
      <c r="D154" s="9">
        <v>5</v>
      </c>
    </row>
    <row r="155" spans="1:4" x14ac:dyDescent="0.25">
      <c r="A155" s="1" t="s">
        <v>310</v>
      </c>
      <c r="B155" s="1" t="s">
        <v>311</v>
      </c>
      <c r="C155" s="9">
        <v>238</v>
      </c>
      <c r="D155" s="9">
        <v>1</v>
      </c>
    </row>
    <row r="156" spans="1:4" x14ac:dyDescent="0.25">
      <c r="A156" s="1" t="s">
        <v>312</v>
      </c>
      <c r="B156" s="1" t="s">
        <v>313</v>
      </c>
      <c r="C156" s="9">
        <v>1063</v>
      </c>
      <c r="D156" s="9">
        <v>8</v>
      </c>
    </row>
    <row r="157" spans="1:4" x14ac:dyDescent="0.25">
      <c r="A157" s="1" t="s">
        <v>314</v>
      </c>
      <c r="B157" s="1" t="s">
        <v>315</v>
      </c>
      <c r="C157" s="9">
        <v>508</v>
      </c>
      <c r="D157" s="9">
        <v>4</v>
      </c>
    </row>
    <row r="158" spans="1:4" x14ac:dyDescent="0.25">
      <c r="A158" s="1" t="s">
        <v>316</v>
      </c>
      <c r="B158" s="1" t="s">
        <v>317</v>
      </c>
      <c r="C158" s="9">
        <v>166</v>
      </c>
      <c r="D158" s="9">
        <v>1</v>
      </c>
    </row>
    <row r="159" spans="1:4" x14ac:dyDescent="0.25">
      <c r="A159" s="1" t="s">
        <v>318</v>
      </c>
      <c r="B159" s="1" t="s">
        <v>319</v>
      </c>
      <c r="C159" s="9">
        <v>695</v>
      </c>
      <c r="D159" s="9">
        <v>5</v>
      </c>
    </row>
    <row r="160" spans="1:4" x14ac:dyDescent="0.25">
      <c r="A160" s="1" t="s">
        <v>320</v>
      </c>
      <c r="B160" s="1" t="s">
        <v>321</v>
      </c>
      <c r="C160" s="9">
        <v>1209</v>
      </c>
      <c r="D160" s="9">
        <v>10</v>
      </c>
    </row>
    <row r="161" spans="1:4" x14ac:dyDescent="0.25">
      <c r="A161" s="1" t="s">
        <v>322</v>
      </c>
      <c r="B161" s="1" t="s">
        <v>323</v>
      </c>
      <c r="C161" s="9">
        <v>458</v>
      </c>
      <c r="D161" s="9">
        <v>3</v>
      </c>
    </row>
    <row r="162" spans="1:4" x14ac:dyDescent="0.25">
      <c r="A162" s="1" t="s">
        <v>324</v>
      </c>
      <c r="B162" s="1" t="s">
        <v>325</v>
      </c>
      <c r="C162" s="9">
        <v>557</v>
      </c>
      <c r="D162" s="9">
        <v>4</v>
      </c>
    </row>
    <row r="163" spans="1:4" x14ac:dyDescent="0.25">
      <c r="A163" s="1" t="s">
        <v>326</v>
      </c>
      <c r="B163" s="1" t="s">
        <v>327</v>
      </c>
      <c r="C163" s="9">
        <v>1417</v>
      </c>
      <c r="D163" s="9">
        <v>11</v>
      </c>
    </row>
    <row r="164" spans="1:4" x14ac:dyDescent="0.25">
      <c r="A164" s="1" t="s">
        <v>328</v>
      </c>
      <c r="B164" s="1" t="s">
        <v>329</v>
      </c>
      <c r="C164" s="9">
        <v>86</v>
      </c>
      <c r="D164" s="9">
        <v>0</v>
      </c>
    </row>
    <row r="165" spans="1:4" x14ac:dyDescent="0.25">
      <c r="A165" s="1" t="s">
        <v>330</v>
      </c>
      <c r="B165" s="1" t="s">
        <v>331</v>
      </c>
      <c r="C165" s="9">
        <v>531</v>
      </c>
      <c r="D165" s="9">
        <v>4</v>
      </c>
    </row>
    <row r="166" spans="1:4" x14ac:dyDescent="0.25">
      <c r="A166" s="1" t="s">
        <v>332</v>
      </c>
      <c r="B166" s="1" t="s">
        <v>333</v>
      </c>
      <c r="C166" s="9">
        <v>574</v>
      </c>
      <c r="D166" s="9">
        <v>4</v>
      </c>
    </row>
    <row r="167" spans="1:4" x14ac:dyDescent="0.25">
      <c r="A167" s="1" t="s">
        <v>334</v>
      </c>
      <c r="B167" s="1" t="s">
        <v>335</v>
      </c>
      <c r="C167" s="9">
        <v>908</v>
      </c>
      <c r="D167" s="9">
        <v>7</v>
      </c>
    </row>
    <row r="168" spans="1:4" x14ac:dyDescent="0.25">
      <c r="A168" s="1" t="s">
        <v>336</v>
      </c>
      <c r="B168" s="1" t="s">
        <v>337</v>
      </c>
      <c r="C168" s="9">
        <v>546</v>
      </c>
      <c r="D168" s="9">
        <v>4</v>
      </c>
    </row>
    <row r="169" spans="1:4" x14ac:dyDescent="0.25">
      <c r="A169" s="1" t="s">
        <v>338</v>
      </c>
      <c r="B169" s="1" t="s">
        <v>339</v>
      </c>
      <c r="C169" s="9">
        <v>537</v>
      </c>
      <c r="D169" s="9">
        <v>4</v>
      </c>
    </row>
    <row r="170" spans="1:4" x14ac:dyDescent="0.25">
      <c r="A170" s="1" t="s">
        <v>340</v>
      </c>
      <c r="B170" s="1" t="s">
        <v>341</v>
      </c>
      <c r="C170" s="9">
        <v>579</v>
      </c>
      <c r="D170" s="9">
        <v>4</v>
      </c>
    </row>
    <row r="171" spans="1:4" x14ac:dyDescent="0.25">
      <c r="A171" s="1" t="s">
        <v>342</v>
      </c>
      <c r="B171" s="1" t="s">
        <v>343</v>
      </c>
      <c r="C171" s="9">
        <v>975</v>
      </c>
      <c r="D171" s="9">
        <v>8</v>
      </c>
    </row>
    <row r="172" spans="1:4" x14ac:dyDescent="0.25">
      <c r="A172" s="1" t="s">
        <v>344</v>
      </c>
      <c r="B172" s="1" t="s">
        <v>345</v>
      </c>
      <c r="C172" s="9">
        <v>3</v>
      </c>
      <c r="D172" s="9">
        <v>0</v>
      </c>
    </row>
    <row r="173" spans="1:4" x14ac:dyDescent="0.25">
      <c r="A173" s="1" t="s">
        <v>346</v>
      </c>
      <c r="B173" s="1" t="s">
        <v>347</v>
      </c>
      <c r="C173" s="9">
        <v>677</v>
      </c>
      <c r="D173" s="9">
        <v>5</v>
      </c>
    </row>
    <row r="174" spans="1:4" x14ac:dyDescent="0.25">
      <c r="A174" s="1" t="s">
        <v>348</v>
      </c>
      <c r="B174" s="1" t="s">
        <v>349</v>
      </c>
      <c r="C174" s="9">
        <v>1304</v>
      </c>
      <c r="D174" s="9">
        <v>10</v>
      </c>
    </row>
    <row r="175" spans="1:4" x14ac:dyDescent="0.25">
      <c r="A175" s="1" t="s">
        <v>350</v>
      </c>
      <c r="B175" s="1" t="s">
        <v>351</v>
      </c>
      <c r="C175" s="9">
        <v>929</v>
      </c>
      <c r="D175" s="9">
        <v>7</v>
      </c>
    </row>
    <row r="176" spans="1:4" x14ac:dyDescent="0.25">
      <c r="A176" s="1" t="s">
        <v>352</v>
      </c>
      <c r="B176" s="1" t="s">
        <v>353</v>
      </c>
      <c r="C176" s="9">
        <v>615</v>
      </c>
      <c r="D176" s="9">
        <v>5</v>
      </c>
    </row>
    <row r="177" spans="1:4" x14ac:dyDescent="0.25">
      <c r="A177" s="1" t="s">
        <v>354</v>
      </c>
      <c r="B177" s="1" t="s">
        <v>355</v>
      </c>
      <c r="C177" s="9">
        <v>547</v>
      </c>
      <c r="D177" s="9">
        <v>4</v>
      </c>
    </row>
    <row r="178" spans="1:4" x14ac:dyDescent="0.25">
      <c r="A178" s="1" t="s">
        <v>356</v>
      </c>
      <c r="B178" s="1" t="s">
        <v>357</v>
      </c>
      <c r="C178" s="9">
        <v>481</v>
      </c>
      <c r="D178" s="9">
        <v>4</v>
      </c>
    </row>
    <row r="179" spans="1:4" x14ac:dyDescent="0.25">
      <c r="A179" s="1" t="s">
        <v>358</v>
      </c>
      <c r="B179" s="1" t="s">
        <v>359</v>
      </c>
      <c r="C179" s="9">
        <v>1371</v>
      </c>
      <c r="D179" s="9">
        <v>11</v>
      </c>
    </row>
    <row r="180" spans="1:4" x14ac:dyDescent="0.25">
      <c r="A180" s="1" t="s">
        <v>360</v>
      </c>
      <c r="B180" s="1" t="s">
        <v>361</v>
      </c>
      <c r="C180" s="9">
        <v>944</v>
      </c>
      <c r="D180" s="9">
        <v>7</v>
      </c>
    </row>
    <row r="181" spans="1:4" x14ac:dyDescent="0.25">
      <c r="A181" s="1" t="s">
        <v>362</v>
      </c>
      <c r="B181" s="1" t="s">
        <v>363</v>
      </c>
      <c r="C181" s="9">
        <v>985</v>
      </c>
      <c r="D181" s="9">
        <v>8</v>
      </c>
    </row>
    <row r="182" spans="1:4" x14ac:dyDescent="0.25">
      <c r="A182" s="1" t="s">
        <v>364</v>
      </c>
      <c r="B182" s="1" t="s">
        <v>365</v>
      </c>
      <c r="C182" s="9">
        <v>1374</v>
      </c>
      <c r="D182" s="9">
        <v>11</v>
      </c>
    </row>
    <row r="183" spans="1:4" x14ac:dyDescent="0.25">
      <c r="A183" s="1" t="s">
        <v>366</v>
      </c>
      <c r="B183" s="1" t="s">
        <v>367</v>
      </c>
      <c r="C183" s="9">
        <v>326</v>
      </c>
      <c r="D183" s="9">
        <v>2</v>
      </c>
    </row>
    <row r="184" spans="1:4" x14ac:dyDescent="0.25">
      <c r="A184" s="1" t="s">
        <v>368</v>
      </c>
      <c r="B184" s="1" t="s">
        <v>369</v>
      </c>
      <c r="C184" s="9">
        <v>1218</v>
      </c>
      <c r="D184" s="9">
        <v>10</v>
      </c>
    </row>
    <row r="185" spans="1:4" x14ac:dyDescent="0.25">
      <c r="A185" s="1" t="s">
        <v>370</v>
      </c>
      <c r="B185" s="1" t="s">
        <v>371</v>
      </c>
      <c r="C185" s="9">
        <v>1121</v>
      </c>
      <c r="D185" s="9">
        <v>9</v>
      </c>
    </row>
    <row r="186" spans="1:4" x14ac:dyDescent="0.25">
      <c r="A186" s="1" t="s">
        <v>372</v>
      </c>
      <c r="B186" s="1" t="s">
        <v>373</v>
      </c>
      <c r="C186" s="9">
        <v>1192</v>
      </c>
      <c r="D186" s="9">
        <v>9</v>
      </c>
    </row>
    <row r="187" spans="1:4" x14ac:dyDescent="0.25">
      <c r="A187" s="1" t="s">
        <v>374</v>
      </c>
      <c r="B187" s="1" t="s">
        <v>375</v>
      </c>
      <c r="C187" s="9">
        <v>945</v>
      </c>
      <c r="D187" s="9">
        <v>7</v>
      </c>
    </row>
    <row r="188" spans="1:4" x14ac:dyDescent="0.25">
      <c r="A188" s="1" t="s">
        <v>376</v>
      </c>
      <c r="B188" s="1" t="s">
        <v>377</v>
      </c>
      <c r="C188" s="9">
        <v>1319</v>
      </c>
      <c r="D188" s="9">
        <v>10</v>
      </c>
    </row>
    <row r="189" spans="1:4" x14ac:dyDescent="0.25">
      <c r="A189" s="1" t="s">
        <v>378</v>
      </c>
      <c r="B189" s="1" t="s">
        <v>379</v>
      </c>
      <c r="C189" s="9">
        <v>1253</v>
      </c>
      <c r="D189" s="9">
        <v>10</v>
      </c>
    </row>
    <row r="190" spans="1:4" x14ac:dyDescent="0.25">
      <c r="A190" s="1" t="s">
        <v>380</v>
      </c>
      <c r="B190" s="1" t="s">
        <v>381</v>
      </c>
      <c r="C190" s="9">
        <v>326</v>
      </c>
      <c r="D190" s="9">
        <v>2</v>
      </c>
    </row>
    <row r="191" spans="1:4" x14ac:dyDescent="0.25">
      <c r="A191" s="1" t="s">
        <v>382</v>
      </c>
      <c r="B191" s="1" t="s">
        <v>383</v>
      </c>
      <c r="C191" s="9">
        <v>1285</v>
      </c>
      <c r="D191" s="9">
        <v>10</v>
      </c>
    </row>
    <row r="192" spans="1:4" x14ac:dyDescent="0.25">
      <c r="A192" s="1" t="s">
        <v>384</v>
      </c>
      <c r="B192" s="1" t="s">
        <v>385</v>
      </c>
      <c r="C192" s="9">
        <v>1221</v>
      </c>
      <c r="D192" s="9">
        <v>10</v>
      </c>
    </row>
    <row r="193" spans="1:4" x14ac:dyDescent="0.25">
      <c r="A193" s="1" t="s">
        <v>386</v>
      </c>
      <c r="B193" s="1" t="s">
        <v>387</v>
      </c>
      <c r="C193" s="9">
        <v>83</v>
      </c>
      <c r="D193" s="9">
        <v>0</v>
      </c>
    </row>
    <row r="194" spans="1:4" x14ac:dyDescent="0.25">
      <c r="A194" s="1" t="s">
        <v>388</v>
      </c>
      <c r="B194" s="1" t="s">
        <v>389</v>
      </c>
      <c r="C194" s="9">
        <v>1436</v>
      </c>
      <c r="D194" s="9">
        <v>17</v>
      </c>
    </row>
    <row r="195" spans="1:4" x14ac:dyDescent="0.25">
      <c r="A195" s="1" t="s">
        <v>390</v>
      </c>
      <c r="B195" s="1" t="s">
        <v>391</v>
      </c>
      <c r="C195" s="9">
        <v>249</v>
      </c>
      <c r="D195" s="9">
        <v>3</v>
      </c>
    </row>
    <row r="196" spans="1:4" x14ac:dyDescent="0.25">
      <c r="A196" s="1" t="s">
        <v>392</v>
      </c>
      <c r="B196" s="1" t="s">
        <v>393</v>
      </c>
      <c r="C196" s="9">
        <v>260</v>
      </c>
      <c r="D196" s="9">
        <v>3</v>
      </c>
    </row>
    <row r="197" spans="1:4" x14ac:dyDescent="0.25">
      <c r="A197" s="1" t="s">
        <v>394</v>
      </c>
      <c r="B197" s="1" t="s">
        <v>395</v>
      </c>
      <c r="C197" s="9">
        <v>337</v>
      </c>
      <c r="D197" s="9">
        <v>4</v>
      </c>
    </row>
    <row r="198" spans="1:4" x14ac:dyDescent="0.25">
      <c r="A198" s="1" t="s">
        <v>396</v>
      </c>
      <c r="B198" s="1" t="s">
        <v>397</v>
      </c>
      <c r="C198" s="9">
        <v>895</v>
      </c>
      <c r="D198" s="9">
        <v>11</v>
      </c>
    </row>
    <row r="199" spans="1:4" x14ac:dyDescent="0.25">
      <c r="A199" s="1" t="s">
        <v>398</v>
      </c>
      <c r="B199" s="1" t="s">
        <v>399</v>
      </c>
      <c r="C199" s="9">
        <v>853</v>
      </c>
      <c r="D199" s="9">
        <v>10</v>
      </c>
    </row>
    <row r="200" spans="1:4" x14ac:dyDescent="0.25">
      <c r="A200" s="1" t="s">
        <v>400</v>
      </c>
      <c r="B200" s="1" t="s">
        <v>401</v>
      </c>
      <c r="C200" s="9">
        <v>551</v>
      </c>
      <c r="D200" s="9">
        <v>6</v>
      </c>
    </row>
    <row r="201" spans="1:4" x14ac:dyDescent="0.25">
      <c r="A201" s="1" t="s">
        <v>402</v>
      </c>
      <c r="B201" s="1" t="s">
        <v>403</v>
      </c>
      <c r="C201" s="9">
        <v>425</v>
      </c>
      <c r="D201" s="9">
        <v>5</v>
      </c>
    </row>
    <row r="202" spans="1:4" x14ac:dyDescent="0.25">
      <c r="A202" s="1" t="s">
        <v>404</v>
      </c>
      <c r="B202" s="1" t="s">
        <v>405</v>
      </c>
      <c r="C202" s="9">
        <v>981</v>
      </c>
      <c r="D202" s="9">
        <v>12</v>
      </c>
    </row>
    <row r="203" spans="1:4" x14ac:dyDescent="0.25">
      <c r="A203" s="1" t="s">
        <v>406</v>
      </c>
      <c r="B203" s="1" t="s">
        <v>407</v>
      </c>
      <c r="C203" s="9">
        <v>922</v>
      </c>
      <c r="D203" s="9">
        <v>11</v>
      </c>
    </row>
    <row r="204" spans="1:4" x14ac:dyDescent="0.25">
      <c r="A204" s="1" t="s">
        <v>408</v>
      </c>
      <c r="B204" s="1" t="s">
        <v>409</v>
      </c>
      <c r="C204" s="9">
        <v>515</v>
      </c>
      <c r="D204" s="9">
        <v>6</v>
      </c>
    </row>
    <row r="205" spans="1:4" x14ac:dyDescent="0.25">
      <c r="A205" s="1" t="s">
        <v>410</v>
      </c>
      <c r="B205" s="1" t="s">
        <v>411</v>
      </c>
      <c r="C205" s="9">
        <v>965</v>
      </c>
      <c r="D205" s="9">
        <v>12</v>
      </c>
    </row>
    <row r="206" spans="1:4" x14ac:dyDescent="0.25">
      <c r="A206" s="1" t="s">
        <v>412</v>
      </c>
      <c r="B206" s="1" t="s">
        <v>413</v>
      </c>
      <c r="C206" s="9">
        <v>1494</v>
      </c>
      <c r="D206" s="9">
        <v>18</v>
      </c>
    </row>
    <row r="207" spans="1:4" x14ac:dyDescent="0.25">
      <c r="A207" s="1" t="s">
        <v>414</v>
      </c>
      <c r="B207" s="1" t="s">
        <v>415</v>
      </c>
      <c r="C207" s="9">
        <v>450</v>
      </c>
      <c r="D207" s="9">
        <v>5</v>
      </c>
    </row>
    <row r="208" spans="1:4" x14ac:dyDescent="0.25">
      <c r="A208" s="1" t="s">
        <v>416</v>
      </c>
      <c r="B208" s="1" t="s">
        <v>417</v>
      </c>
      <c r="C208" s="9">
        <v>276</v>
      </c>
      <c r="D208" s="9">
        <v>3</v>
      </c>
    </row>
    <row r="209" spans="1:4" x14ac:dyDescent="0.25">
      <c r="A209" s="1" t="s">
        <v>418</v>
      </c>
      <c r="B209" s="1" t="s">
        <v>419</v>
      </c>
      <c r="C209" s="9">
        <v>189</v>
      </c>
      <c r="D209" s="9">
        <v>2</v>
      </c>
    </row>
    <row r="210" spans="1:4" x14ac:dyDescent="0.25">
      <c r="A210" s="1" t="s">
        <v>420</v>
      </c>
      <c r="B210" s="1" t="s">
        <v>421</v>
      </c>
      <c r="C210" s="9">
        <v>871</v>
      </c>
      <c r="D210" s="9">
        <v>10</v>
      </c>
    </row>
    <row r="211" spans="1:4" x14ac:dyDescent="0.25">
      <c r="A211" s="1" t="s">
        <v>422</v>
      </c>
      <c r="B211" s="1" t="s">
        <v>423</v>
      </c>
      <c r="C211" s="9">
        <v>55</v>
      </c>
      <c r="D211" s="9">
        <v>0</v>
      </c>
    </row>
    <row r="212" spans="1:4" x14ac:dyDescent="0.25">
      <c r="A212" s="1" t="s">
        <v>427</v>
      </c>
      <c r="C212" s="9">
        <v>155010</v>
      </c>
      <c r="D212" s="9">
        <v>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4CCE1-7959-4148-8931-438674668129}">
  <sheetPr codeName="Sheet6"/>
  <dimension ref="A1:C210"/>
  <sheetViews>
    <sheetView workbookViewId="0">
      <selection activeCell="B7" sqref="B7"/>
    </sheetView>
  </sheetViews>
  <sheetFormatPr defaultColWidth="14.85546875" defaultRowHeight="15" x14ac:dyDescent="0.25"/>
  <cols>
    <col min="1" max="16384" width="14.85546875" style="7"/>
  </cols>
  <sheetData>
    <row r="1" spans="1:3" x14ac:dyDescent="0.25">
      <c r="A1" s="7" t="s">
        <v>2</v>
      </c>
      <c r="B1" s="7" t="s">
        <v>1</v>
      </c>
      <c r="C1" s="7" t="s">
        <v>483</v>
      </c>
    </row>
    <row r="2" spans="1:3" x14ac:dyDescent="0.25">
      <c r="A2" s="7" t="s">
        <v>3</v>
      </c>
      <c r="B2" s="7" t="s">
        <v>4</v>
      </c>
      <c r="C2" s="7">
        <f t="shared" ref="C2:C65" ca="1" si="0">RANDBETWEEN(0,1500)</f>
        <v>414</v>
      </c>
    </row>
    <row r="3" spans="1:3" x14ac:dyDescent="0.25">
      <c r="A3" s="7" t="s">
        <v>6</v>
      </c>
      <c r="B3" s="7" t="s">
        <v>54</v>
      </c>
      <c r="C3" s="7">
        <f t="shared" ca="1" si="0"/>
        <v>308</v>
      </c>
    </row>
    <row r="4" spans="1:3" x14ac:dyDescent="0.25">
      <c r="A4" s="7" t="s">
        <v>7</v>
      </c>
      <c r="B4" s="7" t="s">
        <v>55</v>
      </c>
      <c r="C4" s="7">
        <f t="shared" ca="1" si="0"/>
        <v>918</v>
      </c>
    </row>
    <row r="5" spans="1:3" x14ac:dyDescent="0.25">
      <c r="A5" s="7" t="s">
        <v>8</v>
      </c>
      <c r="B5" s="7" t="s">
        <v>56</v>
      </c>
      <c r="C5" s="7">
        <f t="shared" ca="1" si="0"/>
        <v>1473</v>
      </c>
    </row>
    <row r="6" spans="1:3" x14ac:dyDescent="0.25">
      <c r="A6" s="7" t="s">
        <v>9</v>
      </c>
      <c r="B6" s="7" t="s">
        <v>57</v>
      </c>
      <c r="C6" s="7">
        <f t="shared" ca="1" si="0"/>
        <v>1494</v>
      </c>
    </row>
    <row r="7" spans="1:3" x14ac:dyDescent="0.25">
      <c r="A7" s="7" t="s">
        <v>10</v>
      </c>
      <c r="B7" s="7" t="s">
        <v>58</v>
      </c>
      <c r="C7" s="7">
        <f t="shared" ca="1" si="0"/>
        <v>138</v>
      </c>
    </row>
    <row r="8" spans="1:3" x14ac:dyDescent="0.25">
      <c r="A8" s="7" t="s">
        <v>11</v>
      </c>
      <c r="B8" s="7" t="s">
        <v>59</v>
      </c>
      <c r="C8" s="7">
        <f t="shared" ca="1" si="0"/>
        <v>1159</v>
      </c>
    </row>
    <row r="9" spans="1:3" x14ac:dyDescent="0.25">
      <c r="A9" s="7" t="s">
        <v>12</v>
      </c>
      <c r="B9" s="7" t="s">
        <v>60</v>
      </c>
      <c r="C9" s="7">
        <f t="shared" ca="1" si="0"/>
        <v>689</v>
      </c>
    </row>
    <row r="10" spans="1:3" x14ac:dyDescent="0.25">
      <c r="A10" s="7" t="s">
        <v>13</v>
      </c>
      <c r="B10" s="7" t="s">
        <v>61</v>
      </c>
      <c r="C10" s="7">
        <f t="shared" ca="1" si="0"/>
        <v>16</v>
      </c>
    </row>
    <row r="11" spans="1:3" x14ac:dyDescent="0.25">
      <c r="A11" s="7" t="s">
        <v>14</v>
      </c>
      <c r="B11" s="7" t="s">
        <v>62</v>
      </c>
      <c r="C11" s="7">
        <f t="shared" ca="1" si="0"/>
        <v>837</v>
      </c>
    </row>
    <row r="12" spans="1:3" x14ac:dyDescent="0.25">
      <c r="A12" s="7" t="s">
        <v>15</v>
      </c>
      <c r="B12" s="7" t="s">
        <v>63</v>
      </c>
      <c r="C12" s="7">
        <f t="shared" ca="1" si="0"/>
        <v>267</v>
      </c>
    </row>
    <row r="13" spans="1:3" x14ac:dyDescent="0.25">
      <c r="A13" s="7" t="s">
        <v>16</v>
      </c>
      <c r="B13" s="7" t="s">
        <v>64</v>
      </c>
      <c r="C13" s="7">
        <f t="shared" ca="1" si="0"/>
        <v>834</v>
      </c>
    </row>
    <row r="14" spans="1:3" x14ac:dyDescent="0.25">
      <c r="A14" s="7" t="s">
        <v>17</v>
      </c>
      <c r="B14" s="7" t="s">
        <v>65</v>
      </c>
      <c r="C14" s="7">
        <f t="shared" ca="1" si="0"/>
        <v>1138</v>
      </c>
    </row>
    <row r="15" spans="1:3" x14ac:dyDescent="0.25">
      <c r="A15" s="7" t="s">
        <v>18</v>
      </c>
      <c r="B15" s="7" t="s">
        <v>66</v>
      </c>
      <c r="C15" s="7">
        <f t="shared" ca="1" si="0"/>
        <v>148</v>
      </c>
    </row>
    <row r="16" spans="1:3" x14ac:dyDescent="0.25">
      <c r="A16" s="7" t="s">
        <v>19</v>
      </c>
      <c r="B16" s="7" t="s">
        <v>67</v>
      </c>
      <c r="C16" s="7">
        <f t="shared" ca="1" si="0"/>
        <v>1232</v>
      </c>
    </row>
    <row r="17" spans="1:3" x14ac:dyDescent="0.25">
      <c r="A17" s="7" t="s">
        <v>20</v>
      </c>
      <c r="B17" s="7" t="s">
        <v>68</v>
      </c>
      <c r="C17" s="7">
        <f t="shared" ca="1" si="0"/>
        <v>984</v>
      </c>
    </row>
    <row r="18" spans="1:3" x14ac:dyDescent="0.25">
      <c r="A18" s="7" t="s">
        <v>21</v>
      </c>
      <c r="B18" s="7" t="s">
        <v>69</v>
      </c>
      <c r="C18" s="7">
        <f t="shared" ca="1" si="0"/>
        <v>80</v>
      </c>
    </row>
    <row r="19" spans="1:3" x14ac:dyDescent="0.25">
      <c r="A19" s="7" t="s">
        <v>22</v>
      </c>
      <c r="B19" s="7" t="s">
        <v>70</v>
      </c>
      <c r="C19" s="7">
        <f t="shared" ca="1" si="0"/>
        <v>1023</v>
      </c>
    </row>
    <row r="20" spans="1:3" x14ac:dyDescent="0.25">
      <c r="A20" s="7" t="s">
        <v>23</v>
      </c>
      <c r="B20" s="7" t="s">
        <v>71</v>
      </c>
      <c r="C20" s="7">
        <f t="shared" ca="1" si="0"/>
        <v>94</v>
      </c>
    </row>
    <row r="21" spans="1:3" x14ac:dyDescent="0.25">
      <c r="A21" s="7" t="s">
        <v>24</v>
      </c>
      <c r="B21" s="7" t="s">
        <v>72</v>
      </c>
      <c r="C21" s="7">
        <f t="shared" ca="1" si="0"/>
        <v>1169</v>
      </c>
    </row>
    <row r="22" spans="1:3" x14ac:dyDescent="0.25">
      <c r="A22" s="7" t="s">
        <v>25</v>
      </c>
      <c r="B22" s="7" t="s">
        <v>73</v>
      </c>
      <c r="C22" s="7">
        <f t="shared" ca="1" si="0"/>
        <v>352</v>
      </c>
    </row>
    <row r="23" spans="1:3" x14ac:dyDescent="0.25">
      <c r="A23" s="7" t="s">
        <v>26</v>
      </c>
      <c r="B23" s="7" t="s">
        <v>74</v>
      </c>
      <c r="C23" s="7">
        <f t="shared" ca="1" si="0"/>
        <v>1486</v>
      </c>
    </row>
    <row r="24" spans="1:3" x14ac:dyDescent="0.25">
      <c r="A24" s="7" t="s">
        <v>27</v>
      </c>
      <c r="B24" s="7" t="s">
        <v>75</v>
      </c>
      <c r="C24" s="7">
        <f t="shared" ca="1" si="0"/>
        <v>1124</v>
      </c>
    </row>
    <row r="25" spans="1:3" x14ac:dyDescent="0.25">
      <c r="A25" s="7" t="s">
        <v>28</v>
      </c>
      <c r="B25" s="7" t="s">
        <v>76</v>
      </c>
      <c r="C25" s="7">
        <f t="shared" ca="1" si="0"/>
        <v>1028</v>
      </c>
    </row>
    <row r="26" spans="1:3" x14ac:dyDescent="0.25">
      <c r="A26" s="7" t="s">
        <v>29</v>
      </c>
      <c r="B26" s="7" t="s">
        <v>77</v>
      </c>
      <c r="C26" s="7">
        <f t="shared" ca="1" si="0"/>
        <v>297</v>
      </c>
    </row>
    <row r="27" spans="1:3" x14ac:dyDescent="0.25">
      <c r="A27" s="7" t="s">
        <v>30</v>
      </c>
      <c r="B27" s="7" t="s">
        <v>78</v>
      </c>
      <c r="C27" s="7">
        <f t="shared" ca="1" si="0"/>
        <v>660</v>
      </c>
    </row>
    <row r="28" spans="1:3" x14ac:dyDescent="0.25">
      <c r="A28" s="7" t="s">
        <v>31</v>
      </c>
      <c r="B28" s="7" t="s">
        <v>79</v>
      </c>
      <c r="C28" s="7">
        <f t="shared" ca="1" si="0"/>
        <v>1164</v>
      </c>
    </row>
    <row r="29" spans="1:3" x14ac:dyDescent="0.25">
      <c r="A29" s="7" t="s">
        <v>32</v>
      </c>
      <c r="B29" s="7" t="s">
        <v>80</v>
      </c>
      <c r="C29" s="7">
        <f t="shared" ca="1" si="0"/>
        <v>570</v>
      </c>
    </row>
    <row r="30" spans="1:3" x14ac:dyDescent="0.25">
      <c r="A30" s="7" t="s">
        <v>33</v>
      </c>
      <c r="B30" s="7" t="s">
        <v>81</v>
      </c>
      <c r="C30" s="7">
        <f t="shared" ca="1" si="0"/>
        <v>125</v>
      </c>
    </row>
    <row r="31" spans="1:3" x14ac:dyDescent="0.25">
      <c r="A31" s="7" t="s">
        <v>34</v>
      </c>
      <c r="B31" s="7" t="s">
        <v>82</v>
      </c>
      <c r="C31" s="7">
        <f t="shared" ca="1" si="0"/>
        <v>479</v>
      </c>
    </row>
    <row r="32" spans="1:3" x14ac:dyDescent="0.25">
      <c r="A32" s="7" t="s">
        <v>35</v>
      </c>
      <c r="B32" s="7" t="s">
        <v>83</v>
      </c>
      <c r="C32" s="7">
        <f t="shared" ca="1" si="0"/>
        <v>1411</v>
      </c>
    </row>
    <row r="33" spans="1:3" x14ac:dyDescent="0.25">
      <c r="A33" s="7" t="s">
        <v>36</v>
      </c>
      <c r="B33" s="7" t="s">
        <v>84</v>
      </c>
      <c r="C33" s="7">
        <f t="shared" ca="1" si="0"/>
        <v>736</v>
      </c>
    </row>
    <row r="34" spans="1:3" x14ac:dyDescent="0.25">
      <c r="A34" s="7" t="s">
        <v>37</v>
      </c>
      <c r="B34" s="7" t="s">
        <v>85</v>
      </c>
      <c r="C34" s="7">
        <f t="shared" ca="1" si="0"/>
        <v>111</v>
      </c>
    </row>
    <row r="35" spans="1:3" x14ac:dyDescent="0.25">
      <c r="A35" s="7" t="s">
        <v>38</v>
      </c>
      <c r="B35" s="7" t="s">
        <v>86</v>
      </c>
      <c r="C35" s="7">
        <f t="shared" ca="1" si="0"/>
        <v>746</v>
      </c>
    </row>
    <row r="36" spans="1:3" x14ac:dyDescent="0.25">
      <c r="A36" s="7" t="s">
        <v>39</v>
      </c>
      <c r="B36" s="7" t="s">
        <v>87</v>
      </c>
      <c r="C36" s="7">
        <f t="shared" ca="1" si="0"/>
        <v>1409</v>
      </c>
    </row>
    <row r="37" spans="1:3" x14ac:dyDescent="0.25">
      <c r="A37" s="7" t="s">
        <v>40</v>
      </c>
      <c r="B37" s="7" t="s">
        <v>88</v>
      </c>
      <c r="C37" s="7">
        <f t="shared" ca="1" si="0"/>
        <v>962</v>
      </c>
    </row>
    <row r="38" spans="1:3" x14ac:dyDescent="0.25">
      <c r="A38" s="7" t="s">
        <v>41</v>
      </c>
      <c r="B38" s="7" t="s">
        <v>89</v>
      </c>
      <c r="C38" s="7">
        <f t="shared" ca="1" si="0"/>
        <v>868</v>
      </c>
    </row>
    <row r="39" spans="1:3" x14ac:dyDescent="0.25">
      <c r="A39" s="7" t="s">
        <v>42</v>
      </c>
      <c r="B39" s="7" t="s">
        <v>90</v>
      </c>
      <c r="C39" s="7">
        <f t="shared" ca="1" si="0"/>
        <v>756</v>
      </c>
    </row>
    <row r="40" spans="1:3" x14ac:dyDescent="0.25">
      <c r="A40" s="7" t="s">
        <v>43</v>
      </c>
      <c r="B40" s="7" t="s">
        <v>91</v>
      </c>
      <c r="C40" s="7">
        <f t="shared" ca="1" si="0"/>
        <v>385</v>
      </c>
    </row>
    <row r="41" spans="1:3" x14ac:dyDescent="0.25">
      <c r="A41" s="7" t="s">
        <v>44</v>
      </c>
      <c r="B41" s="7" t="s">
        <v>92</v>
      </c>
      <c r="C41" s="7">
        <f t="shared" ca="1" si="0"/>
        <v>1208</v>
      </c>
    </row>
    <row r="42" spans="1:3" x14ac:dyDescent="0.25">
      <c r="A42" s="7" t="s">
        <v>45</v>
      </c>
      <c r="B42" s="7" t="s">
        <v>93</v>
      </c>
      <c r="C42" s="7">
        <f t="shared" ca="1" si="0"/>
        <v>1451</v>
      </c>
    </row>
    <row r="43" spans="1:3" x14ac:dyDescent="0.25">
      <c r="A43" s="7" t="s">
        <v>46</v>
      </c>
      <c r="B43" s="7" t="s">
        <v>94</v>
      </c>
      <c r="C43" s="7">
        <f t="shared" ca="1" si="0"/>
        <v>836</v>
      </c>
    </row>
    <row r="44" spans="1:3" x14ac:dyDescent="0.25">
      <c r="A44" s="7" t="s">
        <v>47</v>
      </c>
      <c r="B44" s="7" t="s">
        <v>95</v>
      </c>
      <c r="C44" s="7">
        <f t="shared" ca="1" si="0"/>
        <v>312</v>
      </c>
    </row>
    <row r="45" spans="1:3" x14ac:dyDescent="0.25">
      <c r="A45" s="7" t="s">
        <v>48</v>
      </c>
      <c r="B45" s="7" t="s">
        <v>96</v>
      </c>
      <c r="C45" s="7">
        <f t="shared" ca="1" si="0"/>
        <v>893</v>
      </c>
    </row>
    <row r="46" spans="1:3" x14ac:dyDescent="0.25">
      <c r="A46" s="7" t="s">
        <v>49</v>
      </c>
      <c r="B46" s="7" t="s">
        <v>97</v>
      </c>
      <c r="C46" s="7">
        <f t="shared" ca="1" si="0"/>
        <v>1385</v>
      </c>
    </row>
    <row r="47" spans="1:3" x14ac:dyDescent="0.25">
      <c r="A47" s="7" t="s">
        <v>50</v>
      </c>
      <c r="B47" s="7" t="s">
        <v>98</v>
      </c>
      <c r="C47" s="7">
        <f t="shared" ca="1" si="0"/>
        <v>513</v>
      </c>
    </row>
    <row r="48" spans="1:3" x14ac:dyDescent="0.25">
      <c r="A48" s="7" t="s">
        <v>51</v>
      </c>
      <c r="B48" s="7" t="s">
        <v>99</v>
      </c>
      <c r="C48" s="7">
        <f t="shared" ca="1" si="0"/>
        <v>1299</v>
      </c>
    </row>
    <row r="49" spans="1:3" x14ac:dyDescent="0.25">
      <c r="A49" s="7" t="s">
        <v>52</v>
      </c>
      <c r="B49" s="7" t="s">
        <v>100</v>
      </c>
      <c r="C49" s="7">
        <f t="shared" ca="1" si="0"/>
        <v>1177</v>
      </c>
    </row>
    <row r="50" spans="1:3" x14ac:dyDescent="0.25">
      <c r="A50" s="7" t="s">
        <v>53</v>
      </c>
      <c r="B50" s="7" t="s">
        <v>101</v>
      </c>
      <c r="C50" s="7">
        <f t="shared" ca="1" si="0"/>
        <v>419</v>
      </c>
    </row>
    <row r="51" spans="1:3" x14ac:dyDescent="0.25">
      <c r="A51" s="7" t="s">
        <v>102</v>
      </c>
      <c r="B51" s="7" t="s">
        <v>152</v>
      </c>
      <c r="C51" s="7">
        <f t="shared" ca="1" si="0"/>
        <v>737</v>
      </c>
    </row>
    <row r="52" spans="1:3" x14ac:dyDescent="0.25">
      <c r="A52" s="7" t="s">
        <v>103</v>
      </c>
      <c r="B52" s="7" t="s">
        <v>153</v>
      </c>
      <c r="C52" s="7">
        <f t="shared" ca="1" si="0"/>
        <v>319</v>
      </c>
    </row>
    <row r="53" spans="1:3" x14ac:dyDescent="0.25">
      <c r="A53" s="7" t="s">
        <v>104</v>
      </c>
      <c r="B53" s="7" t="s">
        <v>154</v>
      </c>
      <c r="C53" s="7">
        <f t="shared" ca="1" si="0"/>
        <v>888</v>
      </c>
    </row>
    <row r="54" spans="1:3" x14ac:dyDescent="0.25">
      <c r="A54" s="7" t="s">
        <v>105</v>
      </c>
      <c r="B54" s="7" t="s">
        <v>155</v>
      </c>
      <c r="C54" s="7">
        <f t="shared" ca="1" si="0"/>
        <v>867</v>
      </c>
    </row>
    <row r="55" spans="1:3" x14ac:dyDescent="0.25">
      <c r="A55" s="7" t="s">
        <v>106</v>
      </c>
      <c r="B55" s="7" t="s">
        <v>156</v>
      </c>
      <c r="C55" s="7">
        <f t="shared" ca="1" si="0"/>
        <v>1309</v>
      </c>
    </row>
    <row r="56" spans="1:3" x14ac:dyDescent="0.25">
      <c r="A56" s="7" t="s">
        <v>107</v>
      </c>
      <c r="B56" s="7" t="s">
        <v>157</v>
      </c>
      <c r="C56" s="7">
        <f t="shared" ca="1" si="0"/>
        <v>1087</v>
      </c>
    </row>
    <row r="57" spans="1:3" x14ac:dyDescent="0.25">
      <c r="A57" s="7" t="s">
        <v>108</v>
      </c>
      <c r="B57" s="7" t="s">
        <v>158</v>
      </c>
      <c r="C57" s="7">
        <f t="shared" ca="1" si="0"/>
        <v>685</v>
      </c>
    </row>
    <row r="58" spans="1:3" x14ac:dyDescent="0.25">
      <c r="A58" s="7" t="s">
        <v>109</v>
      </c>
      <c r="B58" s="7" t="s">
        <v>159</v>
      </c>
      <c r="C58" s="7">
        <f t="shared" ca="1" si="0"/>
        <v>921</v>
      </c>
    </row>
    <row r="59" spans="1:3" x14ac:dyDescent="0.25">
      <c r="A59" s="7" t="s">
        <v>110</v>
      </c>
      <c r="B59" s="7" t="s">
        <v>160</v>
      </c>
      <c r="C59" s="7">
        <f t="shared" ca="1" si="0"/>
        <v>1058</v>
      </c>
    </row>
    <row r="60" spans="1:3" x14ac:dyDescent="0.25">
      <c r="A60" s="7" t="s">
        <v>111</v>
      </c>
      <c r="B60" s="7" t="s">
        <v>161</v>
      </c>
      <c r="C60" s="7">
        <f t="shared" ca="1" si="0"/>
        <v>825</v>
      </c>
    </row>
    <row r="61" spans="1:3" x14ac:dyDescent="0.25">
      <c r="A61" s="7" t="s">
        <v>112</v>
      </c>
      <c r="B61" s="7" t="s">
        <v>162</v>
      </c>
      <c r="C61" s="7">
        <f t="shared" ca="1" si="0"/>
        <v>997</v>
      </c>
    </row>
    <row r="62" spans="1:3" x14ac:dyDescent="0.25">
      <c r="A62" s="7" t="s">
        <v>113</v>
      </c>
      <c r="B62" s="7" t="s">
        <v>163</v>
      </c>
      <c r="C62" s="7">
        <f t="shared" ca="1" si="0"/>
        <v>841</v>
      </c>
    </row>
    <row r="63" spans="1:3" x14ac:dyDescent="0.25">
      <c r="A63" s="7" t="s">
        <v>114</v>
      </c>
      <c r="B63" s="7" t="s">
        <v>164</v>
      </c>
      <c r="C63" s="7">
        <f t="shared" ca="1" si="0"/>
        <v>943</v>
      </c>
    </row>
    <row r="64" spans="1:3" x14ac:dyDescent="0.25">
      <c r="A64" s="7" t="s">
        <v>115</v>
      </c>
      <c r="B64" s="7" t="s">
        <v>165</v>
      </c>
      <c r="C64" s="7">
        <f t="shared" ca="1" si="0"/>
        <v>235</v>
      </c>
    </row>
    <row r="65" spans="1:3" x14ac:dyDescent="0.25">
      <c r="A65" s="7" t="s">
        <v>116</v>
      </c>
      <c r="B65" s="7" t="s">
        <v>166</v>
      </c>
      <c r="C65" s="7">
        <f t="shared" ca="1" si="0"/>
        <v>66</v>
      </c>
    </row>
    <row r="66" spans="1:3" x14ac:dyDescent="0.25">
      <c r="A66" s="7" t="s">
        <v>117</v>
      </c>
      <c r="B66" s="7" t="s">
        <v>167</v>
      </c>
      <c r="C66" s="7">
        <f t="shared" ref="C66:C129" ca="1" si="1">RANDBETWEEN(0,1500)</f>
        <v>1294</v>
      </c>
    </row>
    <row r="67" spans="1:3" x14ac:dyDescent="0.25">
      <c r="A67" s="7" t="s">
        <v>118</v>
      </c>
      <c r="B67" s="7" t="s">
        <v>168</v>
      </c>
      <c r="C67" s="7">
        <f t="shared" ca="1" si="1"/>
        <v>1455</v>
      </c>
    </row>
    <row r="68" spans="1:3" x14ac:dyDescent="0.25">
      <c r="A68" s="7" t="s">
        <v>119</v>
      </c>
      <c r="B68" s="7" t="s">
        <v>169</v>
      </c>
      <c r="C68" s="7">
        <f t="shared" ca="1" si="1"/>
        <v>84</v>
      </c>
    </row>
    <row r="69" spans="1:3" x14ac:dyDescent="0.25">
      <c r="A69" s="7" t="s">
        <v>120</v>
      </c>
      <c r="B69" s="7" t="s">
        <v>170</v>
      </c>
      <c r="C69" s="7">
        <f t="shared" ca="1" si="1"/>
        <v>171</v>
      </c>
    </row>
    <row r="70" spans="1:3" x14ac:dyDescent="0.25">
      <c r="A70" s="7" t="s">
        <v>121</v>
      </c>
      <c r="B70" s="7" t="s">
        <v>171</v>
      </c>
      <c r="C70" s="7">
        <f t="shared" ca="1" si="1"/>
        <v>286</v>
      </c>
    </row>
    <row r="71" spans="1:3" x14ac:dyDescent="0.25">
      <c r="A71" s="7" t="s">
        <v>122</v>
      </c>
      <c r="B71" s="7" t="s">
        <v>172</v>
      </c>
      <c r="C71" s="7">
        <f t="shared" ca="1" si="1"/>
        <v>758</v>
      </c>
    </row>
    <row r="72" spans="1:3" x14ac:dyDescent="0.25">
      <c r="A72" s="7" t="s">
        <v>123</v>
      </c>
      <c r="B72" s="7" t="s">
        <v>173</v>
      </c>
      <c r="C72" s="7">
        <f t="shared" ca="1" si="1"/>
        <v>207</v>
      </c>
    </row>
    <row r="73" spans="1:3" x14ac:dyDescent="0.25">
      <c r="A73" s="7" t="s">
        <v>124</v>
      </c>
      <c r="B73" s="7" t="s">
        <v>174</v>
      </c>
      <c r="C73" s="7">
        <f t="shared" ca="1" si="1"/>
        <v>266</v>
      </c>
    </row>
    <row r="74" spans="1:3" x14ac:dyDescent="0.25">
      <c r="A74" s="7" t="s">
        <v>125</v>
      </c>
      <c r="B74" s="7" t="s">
        <v>175</v>
      </c>
      <c r="C74" s="7">
        <f t="shared" ca="1" si="1"/>
        <v>251</v>
      </c>
    </row>
    <row r="75" spans="1:3" x14ac:dyDescent="0.25">
      <c r="A75" s="7" t="s">
        <v>126</v>
      </c>
      <c r="B75" s="7" t="s">
        <v>176</v>
      </c>
      <c r="C75" s="7">
        <f t="shared" ca="1" si="1"/>
        <v>670</v>
      </c>
    </row>
    <row r="76" spans="1:3" x14ac:dyDescent="0.25">
      <c r="A76" s="7" t="s">
        <v>127</v>
      </c>
      <c r="B76" s="7" t="s">
        <v>177</v>
      </c>
      <c r="C76" s="7">
        <f t="shared" ca="1" si="1"/>
        <v>308</v>
      </c>
    </row>
    <row r="77" spans="1:3" x14ac:dyDescent="0.25">
      <c r="A77" s="7" t="s">
        <v>128</v>
      </c>
      <c r="B77" s="7" t="s">
        <v>178</v>
      </c>
      <c r="C77" s="7">
        <f t="shared" ca="1" si="1"/>
        <v>1020</v>
      </c>
    </row>
    <row r="78" spans="1:3" x14ac:dyDescent="0.25">
      <c r="A78" s="7" t="s">
        <v>129</v>
      </c>
      <c r="B78" s="7" t="s">
        <v>179</v>
      </c>
      <c r="C78" s="7">
        <f t="shared" ca="1" si="1"/>
        <v>351</v>
      </c>
    </row>
    <row r="79" spans="1:3" x14ac:dyDescent="0.25">
      <c r="A79" s="7" t="s">
        <v>130</v>
      </c>
      <c r="B79" s="7" t="s">
        <v>180</v>
      </c>
      <c r="C79" s="7">
        <f t="shared" ca="1" si="1"/>
        <v>1240</v>
      </c>
    </row>
    <row r="80" spans="1:3" x14ac:dyDescent="0.25">
      <c r="A80" s="7" t="s">
        <v>131</v>
      </c>
      <c r="B80" s="7" t="s">
        <v>181</v>
      </c>
      <c r="C80" s="7">
        <f t="shared" ca="1" si="1"/>
        <v>245</v>
      </c>
    </row>
    <row r="81" spans="1:3" x14ac:dyDescent="0.25">
      <c r="A81" s="7" t="s">
        <v>132</v>
      </c>
      <c r="B81" s="7" t="s">
        <v>182</v>
      </c>
      <c r="C81" s="7">
        <f t="shared" ca="1" si="1"/>
        <v>926</v>
      </c>
    </row>
    <row r="82" spans="1:3" x14ac:dyDescent="0.25">
      <c r="A82" s="7" t="s">
        <v>133</v>
      </c>
      <c r="B82" s="7" t="s">
        <v>183</v>
      </c>
      <c r="C82" s="7">
        <f t="shared" ca="1" si="1"/>
        <v>1037</v>
      </c>
    </row>
    <row r="83" spans="1:3" x14ac:dyDescent="0.25">
      <c r="A83" s="7" t="s">
        <v>134</v>
      </c>
      <c r="B83" s="7" t="s">
        <v>184</v>
      </c>
      <c r="C83" s="7">
        <f t="shared" ca="1" si="1"/>
        <v>1176</v>
      </c>
    </row>
    <row r="84" spans="1:3" x14ac:dyDescent="0.25">
      <c r="A84" s="7" t="s">
        <v>135</v>
      </c>
      <c r="B84" s="7" t="s">
        <v>185</v>
      </c>
      <c r="C84" s="7">
        <f t="shared" ca="1" si="1"/>
        <v>681</v>
      </c>
    </row>
    <row r="85" spans="1:3" x14ac:dyDescent="0.25">
      <c r="A85" s="7" t="s">
        <v>136</v>
      </c>
      <c r="B85" s="7" t="s">
        <v>186</v>
      </c>
      <c r="C85" s="7">
        <f t="shared" ca="1" si="1"/>
        <v>667</v>
      </c>
    </row>
    <row r="86" spans="1:3" x14ac:dyDescent="0.25">
      <c r="A86" s="7" t="s">
        <v>137</v>
      </c>
      <c r="B86" s="7" t="s">
        <v>187</v>
      </c>
      <c r="C86" s="7">
        <f t="shared" ca="1" si="1"/>
        <v>295</v>
      </c>
    </row>
    <row r="87" spans="1:3" x14ac:dyDescent="0.25">
      <c r="A87" s="7" t="s">
        <v>138</v>
      </c>
      <c r="B87" s="7" t="s">
        <v>188</v>
      </c>
      <c r="C87" s="7">
        <f t="shared" ca="1" si="1"/>
        <v>1420</v>
      </c>
    </row>
    <row r="88" spans="1:3" x14ac:dyDescent="0.25">
      <c r="A88" s="7" t="s">
        <v>139</v>
      </c>
      <c r="B88" s="7" t="s">
        <v>189</v>
      </c>
      <c r="C88" s="7">
        <f t="shared" ca="1" si="1"/>
        <v>1242</v>
      </c>
    </row>
    <row r="89" spans="1:3" x14ac:dyDescent="0.25">
      <c r="A89" s="7" t="s">
        <v>140</v>
      </c>
      <c r="B89" s="7" t="s">
        <v>190</v>
      </c>
      <c r="C89" s="7">
        <f t="shared" ca="1" si="1"/>
        <v>451</v>
      </c>
    </row>
    <row r="90" spans="1:3" x14ac:dyDescent="0.25">
      <c r="A90" s="7" t="s">
        <v>141</v>
      </c>
      <c r="B90" s="7" t="s">
        <v>191</v>
      </c>
      <c r="C90" s="7">
        <f t="shared" ca="1" si="1"/>
        <v>1302</v>
      </c>
    </row>
    <row r="91" spans="1:3" x14ac:dyDescent="0.25">
      <c r="A91" s="7" t="s">
        <v>142</v>
      </c>
      <c r="B91" s="7" t="s">
        <v>192</v>
      </c>
      <c r="C91" s="7">
        <f t="shared" ca="1" si="1"/>
        <v>582</v>
      </c>
    </row>
    <row r="92" spans="1:3" x14ac:dyDescent="0.25">
      <c r="A92" s="7" t="s">
        <v>143</v>
      </c>
      <c r="B92" s="7" t="s">
        <v>193</v>
      </c>
      <c r="C92" s="7">
        <f t="shared" ca="1" si="1"/>
        <v>224</v>
      </c>
    </row>
    <row r="93" spans="1:3" x14ac:dyDescent="0.25">
      <c r="A93" s="7" t="s">
        <v>144</v>
      </c>
      <c r="B93" s="7" t="s">
        <v>194</v>
      </c>
      <c r="C93" s="7">
        <f t="shared" ca="1" si="1"/>
        <v>944</v>
      </c>
    </row>
    <row r="94" spans="1:3" x14ac:dyDescent="0.25">
      <c r="A94" s="7" t="s">
        <v>145</v>
      </c>
      <c r="B94" s="7" t="s">
        <v>195</v>
      </c>
      <c r="C94" s="7">
        <f t="shared" ca="1" si="1"/>
        <v>1176</v>
      </c>
    </row>
    <row r="95" spans="1:3" x14ac:dyDescent="0.25">
      <c r="A95" s="7" t="s">
        <v>146</v>
      </c>
      <c r="B95" s="7" t="s">
        <v>196</v>
      </c>
      <c r="C95" s="7">
        <f t="shared" ca="1" si="1"/>
        <v>374</v>
      </c>
    </row>
    <row r="96" spans="1:3" x14ac:dyDescent="0.25">
      <c r="A96" s="7" t="s">
        <v>147</v>
      </c>
      <c r="B96" s="7" t="s">
        <v>197</v>
      </c>
      <c r="C96" s="7">
        <f t="shared" ca="1" si="1"/>
        <v>1293</v>
      </c>
    </row>
    <row r="97" spans="1:3" x14ac:dyDescent="0.25">
      <c r="A97" s="7" t="s">
        <v>148</v>
      </c>
      <c r="B97" s="7" t="s">
        <v>198</v>
      </c>
      <c r="C97" s="7">
        <f t="shared" ca="1" si="1"/>
        <v>1380</v>
      </c>
    </row>
    <row r="98" spans="1:3" x14ac:dyDescent="0.25">
      <c r="A98" s="7" t="s">
        <v>149</v>
      </c>
      <c r="B98" s="7" t="s">
        <v>199</v>
      </c>
      <c r="C98" s="7">
        <f t="shared" ca="1" si="1"/>
        <v>531</v>
      </c>
    </row>
    <row r="99" spans="1:3" x14ac:dyDescent="0.25">
      <c r="A99" s="7" t="s">
        <v>150</v>
      </c>
      <c r="B99" s="7" t="s">
        <v>200</v>
      </c>
      <c r="C99" s="7">
        <f t="shared" ca="1" si="1"/>
        <v>540</v>
      </c>
    </row>
    <row r="100" spans="1:3" x14ac:dyDescent="0.25">
      <c r="A100" s="7" t="s">
        <v>151</v>
      </c>
      <c r="B100" s="7" t="s">
        <v>201</v>
      </c>
      <c r="C100" s="7">
        <f t="shared" ca="1" si="1"/>
        <v>1479</v>
      </c>
    </row>
    <row r="101" spans="1:3" x14ac:dyDescent="0.25">
      <c r="A101" s="7" t="s">
        <v>204</v>
      </c>
      <c r="B101" s="7" t="s">
        <v>205</v>
      </c>
      <c r="C101" s="7">
        <f t="shared" ca="1" si="1"/>
        <v>454</v>
      </c>
    </row>
    <row r="102" spans="1:3" x14ac:dyDescent="0.25">
      <c r="A102" s="7" t="s">
        <v>206</v>
      </c>
      <c r="B102" s="7" t="s">
        <v>207</v>
      </c>
      <c r="C102" s="7">
        <f t="shared" ca="1" si="1"/>
        <v>773</v>
      </c>
    </row>
    <row r="103" spans="1:3" x14ac:dyDescent="0.25">
      <c r="A103" s="7" t="s">
        <v>208</v>
      </c>
      <c r="B103" s="7" t="s">
        <v>209</v>
      </c>
      <c r="C103" s="7">
        <f t="shared" ca="1" si="1"/>
        <v>248</v>
      </c>
    </row>
    <row r="104" spans="1:3" x14ac:dyDescent="0.25">
      <c r="A104" s="7" t="s">
        <v>210</v>
      </c>
      <c r="B104" s="7" t="s">
        <v>211</v>
      </c>
      <c r="C104" s="7">
        <f t="shared" ca="1" si="1"/>
        <v>1130</v>
      </c>
    </row>
    <row r="105" spans="1:3" x14ac:dyDescent="0.25">
      <c r="A105" s="7" t="s">
        <v>212</v>
      </c>
      <c r="B105" s="7" t="s">
        <v>213</v>
      </c>
      <c r="C105" s="7">
        <f t="shared" ca="1" si="1"/>
        <v>537</v>
      </c>
    </row>
    <row r="106" spans="1:3" x14ac:dyDescent="0.25">
      <c r="A106" s="7" t="s">
        <v>214</v>
      </c>
      <c r="B106" s="7" t="s">
        <v>215</v>
      </c>
      <c r="C106" s="7">
        <f t="shared" ca="1" si="1"/>
        <v>1028</v>
      </c>
    </row>
    <row r="107" spans="1:3" x14ac:dyDescent="0.25">
      <c r="A107" s="7" t="s">
        <v>216</v>
      </c>
      <c r="B107" s="7" t="s">
        <v>217</v>
      </c>
      <c r="C107" s="7">
        <f t="shared" ca="1" si="1"/>
        <v>974</v>
      </c>
    </row>
    <row r="108" spans="1:3" x14ac:dyDescent="0.25">
      <c r="A108" s="7" t="s">
        <v>218</v>
      </c>
      <c r="B108" s="7" t="s">
        <v>219</v>
      </c>
      <c r="C108" s="7">
        <f t="shared" ca="1" si="1"/>
        <v>1171</v>
      </c>
    </row>
    <row r="109" spans="1:3" x14ac:dyDescent="0.25">
      <c r="A109" s="7" t="s">
        <v>220</v>
      </c>
      <c r="B109" s="7" t="s">
        <v>221</v>
      </c>
      <c r="C109" s="7">
        <f t="shared" ca="1" si="1"/>
        <v>320</v>
      </c>
    </row>
    <row r="110" spans="1:3" x14ac:dyDescent="0.25">
      <c r="A110" s="7" t="s">
        <v>222</v>
      </c>
      <c r="B110" s="7" t="s">
        <v>223</v>
      </c>
      <c r="C110" s="7">
        <f t="shared" ca="1" si="1"/>
        <v>738</v>
      </c>
    </row>
    <row r="111" spans="1:3" x14ac:dyDescent="0.25">
      <c r="A111" s="7" t="s">
        <v>224</v>
      </c>
      <c r="B111" s="7" t="s">
        <v>225</v>
      </c>
      <c r="C111" s="7">
        <f t="shared" ca="1" si="1"/>
        <v>193</v>
      </c>
    </row>
    <row r="112" spans="1:3" x14ac:dyDescent="0.25">
      <c r="A112" s="7" t="s">
        <v>226</v>
      </c>
      <c r="B112" s="7" t="s">
        <v>227</v>
      </c>
      <c r="C112" s="7">
        <f t="shared" ca="1" si="1"/>
        <v>1213</v>
      </c>
    </row>
    <row r="113" spans="1:3" x14ac:dyDescent="0.25">
      <c r="A113" s="7" t="s">
        <v>228</v>
      </c>
      <c r="B113" s="7" t="s">
        <v>229</v>
      </c>
      <c r="C113" s="7">
        <f t="shared" ca="1" si="1"/>
        <v>607</v>
      </c>
    </row>
    <row r="114" spans="1:3" x14ac:dyDescent="0.25">
      <c r="A114" s="7" t="s">
        <v>230</v>
      </c>
      <c r="B114" s="7" t="s">
        <v>231</v>
      </c>
      <c r="C114" s="7">
        <f t="shared" ca="1" si="1"/>
        <v>665</v>
      </c>
    </row>
    <row r="115" spans="1:3" x14ac:dyDescent="0.25">
      <c r="A115" s="7" t="s">
        <v>232</v>
      </c>
      <c r="B115" s="7" t="s">
        <v>233</v>
      </c>
      <c r="C115" s="7">
        <f t="shared" ca="1" si="1"/>
        <v>389</v>
      </c>
    </row>
    <row r="116" spans="1:3" x14ac:dyDescent="0.25">
      <c r="A116" s="7" t="s">
        <v>234</v>
      </c>
      <c r="B116" s="7" t="s">
        <v>235</v>
      </c>
      <c r="C116" s="7">
        <f t="shared" ca="1" si="1"/>
        <v>1354</v>
      </c>
    </row>
    <row r="117" spans="1:3" x14ac:dyDescent="0.25">
      <c r="A117" s="7" t="s">
        <v>236</v>
      </c>
      <c r="B117" s="7" t="s">
        <v>237</v>
      </c>
      <c r="C117" s="7">
        <f t="shared" ca="1" si="1"/>
        <v>770</v>
      </c>
    </row>
    <row r="118" spans="1:3" x14ac:dyDescent="0.25">
      <c r="A118" s="7" t="s">
        <v>238</v>
      </c>
      <c r="B118" s="7" t="s">
        <v>239</v>
      </c>
      <c r="C118" s="7">
        <f t="shared" ca="1" si="1"/>
        <v>1153</v>
      </c>
    </row>
    <row r="119" spans="1:3" x14ac:dyDescent="0.25">
      <c r="A119" s="7" t="s">
        <v>240</v>
      </c>
      <c r="B119" s="7" t="s">
        <v>241</v>
      </c>
      <c r="C119" s="7">
        <f t="shared" ca="1" si="1"/>
        <v>31</v>
      </c>
    </row>
    <row r="120" spans="1:3" x14ac:dyDescent="0.25">
      <c r="A120" s="7" t="s">
        <v>242</v>
      </c>
      <c r="B120" s="7" t="s">
        <v>243</v>
      </c>
      <c r="C120" s="7">
        <f t="shared" ca="1" si="1"/>
        <v>1188</v>
      </c>
    </row>
    <row r="121" spans="1:3" x14ac:dyDescent="0.25">
      <c r="A121" s="7" t="s">
        <v>244</v>
      </c>
      <c r="B121" s="7" t="s">
        <v>245</v>
      </c>
      <c r="C121" s="7">
        <f t="shared" ca="1" si="1"/>
        <v>305</v>
      </c>
    </row>
    <row r="122" spans="1:3" x14ac:dyDescent="0.25">
      <c r="A122" s="7" t="s">
        <v>246</v>
      </c>
      <c r="B122" s="7" t="s">
        <v>247</v>
      </c>
      <c r="C122" s="7">
        <f t="shared" ca="1" si="1"/>
        <v>1204</v>
      </c>
    </row>
    <row r="123" spans="1:3" x14ac:dyDescent="0.25">
      <c r="A123" s="7" t="s">
        <v>248</v>
      </c>
      <c r="B123" s="7" t="s">
        <v>249</v>
      </c>
      <c r="C123" s="7">
        <f t="shared" ca="1" si="1"/>
        <v>748</v>
      </c>
    </row>
    <row r="124" spans="1:3" x14ac:dyDescent="0.25">
      <c r="A124" s="7" t="s">
        <v>250</v>
      </c>
      <c r="B124" s="7" t="s">
        <v>251</v>
      </c>
      <c r="C124" s="7">
        <f t="shared" ca="1" si="1"/>
        <v>214</v>
      </c>
    </row>
    <row r="125" spans="1:3" x14ac:dyDescent="0.25">
      <c r="A125" s="7" t="s">
        <v>252</v>
      </c>
      <c r="B125" s="7" t="s">
        <v>253</v>
      </c>
      <c r="C125" s="7">
        <f t="shared" ca="1" si="1"/>
        <v>1365</v>
      </c>
    </row>
    <row r="126" spans="1:3" x14ac:dyDescent="0.25">
      <c r="A126" s="7" t="s">
        <v>254</v>
      </c>
      <c r="B126" s="7" t="s">
        <v>255</v>
      </c>
      <c r="C126" s="7">
        <f t="shared" ca="1" si="1"/>
        <v>427</v>
      </c>
    </row>
    <row r="127" spans="1:3" x14ac:dyDescent="0.25">
      <c r="A127" s="7" t="s">
        <v>256</v>
      </c>
      <c r="B127" s="7" t="s">
        <v>257</v>
      </c>
      <c r="C127" s="7">
        <f t="shared" ca="1" si="1"/>
        <v>149</v>
      </c>
    </row>
    <row r="128" spans="1:3" x14ac:dyDescent="0.25">
      <c r="A128" s="7" t="s">
        <v>258</v>
      </c>
      <c r="B128" s="7" t="s">
        <v>259</v>
      </c>
      <c r="C128" s="7">
        <f t="shared" ca="1" si="1"/>
        <v>26</v>
      </c>
    </row>
    <row r="129" spans="1:3" x14ac:dyDescent="0.25">
      <c r="A129" s="7" t="s">
        <v>260</v>
      </c>
      <c r="B129" s="7" t="s">
        <v>261</v>
      </c>
      <c r="C129" s="7">
        <f t="shared" ca="1" si="1"/>
        <v>1030</v>
      </c>
    </row>
    <row r="130" spans="1:3" x14ac:dyDescent="0.25">
      <c r="A130" s="7" t="s">
        <v>262</v>
      </c>
      <c r="B130" s="7" t="s">
        <v>263</v>
      </c>
      <c r="C130" s="7">
        <f t="shared" ref="C130:C193" ca="1" si="2">RANDBETWEEN(0,1500)</f>
        <v>713</v>
      </c>
    </row>
    <row r="131" spans="1:3" x14ac:dyDescent="0.25">
      <c r="A131" s="7" t="s">
        <v>264</v>
      </c>
      <c r="B131" s="7" t="s">
        <v>265</v>
      </c>
      <c r="C131" s="7">
        <f t="shared" ca="1" si="2"/>
        <v>357</v>
      </c>
    </row>
    <row r="132" spans="1:3" x14ac:dyDescent="0.25">
      <c r="A132" s="7" t="s">
        <v>266</v>
      </c>
      <c r="B132" s="7" t="s">
        <v>267</v>
      </c>
      <c r="C132" s="7">
        <f t="shared" ca="1" si="2"/>
        <v>179</v>
      </c>
    </row>
    <row r="133" spans="1:3" x14ac:dyDescent="0.25">
      <c r="A133" s="7" t="s">
        <v>268</v>
      </c>
      <c r="B133" s="7" t="s">
        <v>269</v>
      </c>
      <c r="C133" s="7">
        <f t="shared" ca="1" si="2"/>
        <v>1453</v>
      </c>
    </row>
    <row r="134" spans="1:3" x14ac:dyDescent="0.25">
      <c r="A134" s="7" t="s">
        <v>270</v>
      </c>
      <c r="B134" s="7" t="s">
        <v>271</v>
      </c>
      <c r="C134" s="7">
        <f t="shared" ca="1" si="2"/>
        <v>743</v>
      </c>
    </row>
    <row r="135" spans="1:3" x14ac:dyDescent="0.25">
      <c r="A135" s="7" t="s">
        <v>272</v>
      </c>
      <c r="B135" s="7" t="s">
        <v>273</v>
      </c>
      <c r="C135" s="7">
        <f t="shared" ca="1" si="2"/>
        <v>1372</v>
      </c>
    </row>
    <row r="136" spans="1:3" x14ac:dyDescent="0.25">
      <c r="A136" s="7" t="s">
        <v>274</v>
      </c>
      <c r="B136" s="7" t="s">
        <v>275</v>
      </c>
      <c r="C136" s="7">
        <f t="shared" ca="1" si="2"/>
        <v>609</v>
      </c>
    </row>
    <row r="137" spans="1:3" x14ac:dyDescent="0.25">
      <c r="A137" s="7" t="s">
        <v>276</v>
      </c>
      <c r="B137" s="7" t="s">
        <v>277</v>
      </c>
      <c r="C137" s="7">
        <f t="shared" ca="1" si="2"/>
        <v>1359</v>
      </c>
    </row>
    <row r="138" spans="1:3" x14ac:dyDescent="0.25">
      <c r="A138" s="7" t="s">
        <v>278</v>
      </c>
      <c r="B138" s="7" t="s">
        <v>279</v>
      </c>
      <c r="C138" s="7">
        <f t="shared" ca="1" si="2"/>
        <v>366</v>
      </c>
    </row>
    <row r="139" spans="1:3" x14ac:dyDescent="0.25">
      <c r="A139" s="7" t="s">
        <v>280</v>
      </c>
      <c r="B139" s="7" t="s">
        <v>281</v>
      </c>
      <c r="C139" s="7">
        <f t="shared" ca="1" si="2"/>
        <v>777</v>
      </c>
    </row>
    <row r="140" spans="1:3" x14ac:dyDescent="0.25">
      <c r="A140" s="7" t="s">
        <v>282</v>
      </c>
      <c r="B140" s="7" t="s">
        <v>283</v>
      </c>
      <c r="C140" s="7">
        <f t="shared" ca="1" si="2"/>
        <v>306</v>
      </c>
    </row>
    <row r="141" spans="1:3" x14ac:dyDescent="0.25">
      <c r="A141" s="7" t="s">
        <v>284</v>
      </c>
      <c r="B141" s="7" t="s">
        <v>285</v>
      </c>
      <c r="C141" s="7">
        <f t="shared" ca="1" si="2"/>
        <v>773</v>
      </c>
    </row>
    <row r="142" spans="1:3" x14ac:dyDescent="0.25">
      <c r="A142" s="7" t="s">
        <v>286</v>
      </c>
      <c r="B142" s="7" t="s">
        <v>287</v>
      </c>
      <c r="C142" s="7">
        <f t="shared" ca="1" si="2"/>
        <v>6</v>
      </c>
    </row>
    <row r="143" spans="1:3" x14ac:dyDescent="0.25">
      <c r="A143" s="7" t="s">
        <v>288</v>
      </c>
      <c r="B143" s="7" t="s">
        <v>289</v>
      </c>
      <c r="C143" s="7">
        <f t="shared" ca="1" si="2"/>
        <v>1334</v>
      </c>
    </row>
    <row r="144" spans="1:3" x14ac:dyDescent="0.25">
      <c r="A144" s="7" t="s">
        <v>290</v>
      </c>
      <c r="B144" s="7" t="s">
        <v>291</v>
      </c>
      <c r="C144" s="7">
        <f t="shared" ca="1" si="2"/>
        <v>191</v>
      </c>
    </row>
    <row r="145" spans="1:3" x14ac:dyDescent="0.25">
      <c r="A145" s="7" t="s">
        <v>292</v>
      </c>
      <c r="B145" s="7" t="s">
        <v>293</v>
      </c>
      <c r="C145" s="7">
        <f t="shared" ca="1" si="2"/>
        <v>935</v>
      </c>
    </row>
    <row r="146" spans="1:3" x14ac:dyDescent="0.25">
      <c r="A146" s="7" t="s">
        <v>294</v>
      </c>
      <c r="B146" s="7" t="s">
        <v>295</v>
      </c>
      <c r="C146" s="7">
        <f t="shared" ca="1" si="2"/>
        <v>278</v>
      </c>
    </row>
    <row r="147" spans="1:3" x14ac:dyDescent="0.25">
      <c r="A147" s="7" t="s">
        <v>296</v>
      </c>
      <c r="B147" s="7" t="s">
        <v>297</v>
      </c>
      <c r="C147" s="7">
        <f t="shared" ca="1" si="2"/>
        <v>1296</v>
      </c>
    </row>
    <row r="148" spans="1:3" x14ac:dyDescent="0.25">
      <c r="A148" s="7" t="s">
        <v>298</v>
      </c>
      <c r="B148" s="7" t="s">
        <v>299</v>
      </c>
      <c r="C148" s="7">
        <f t="shared" ca="1" si="2"/>
        <v>1223</v>
      </c>
    </row>
    <row r="149" spans="1:3" x14ac:dyDescent="0.25">
      <c r="A149" s="7" t="s">
        <v>300</v>
      </c>
      <c r="B149" s="7" t="s">
        <v>301</v>
      </c>
      <c r="C149" s="7">
        <f t="shared" ca="1" si="2"/>
        <v>862</v>
      </c>
    </row>
    <row r="150" spans="1:3" x14ac:dyDescent="0.25">
      <c r="A150" s="7" t="s">
        <v>302</v>
      </c>
      <c r="B150" s="7" t="s">
        <v>303</v>
      </c>
      <c r="C150" s="7">
        <f t="shared" ca="1" si="2"/>
        <v>830</v>
      </c>
    </row>
    <row r="151" spans="1:3" x14ac:dyDescent="0.25">
      <c r="A151" s="7" t="s">
        <v>304</v>
      </c>
      <c r="B151" s="7" t="s">
        <v>305</v>
      </c>
      <c r="C151" s="7">
        <f t="shared" ca="1" si="2"/>
        <v>122</v>
      </c>
    </row>
    <row r="152" spans="1:3" x14ac:dyDescent="0.25">
      <c r="A152" s="7" t="s">
        <v>306</v>
      </c>
      <c r="B152" s="7" t="s">
        <v>307</v>
      </c>
      <c r="C152" s="7">
        <f t="shared" ca="1" si="2"/>
        <v>230</v>
      </c>
    </row>
    <row r="153" spans="1:3" x14ac:dyDescent="0.25">
      <c r="A153" s="7" t="s">
        <v>308</v>
      </c>
      <c r="B153" s="7" t="s">
        <v>309</v>
      </c>
      <c r="C153" s="7">
        <f t="shared" ca="1" si="2"/>
        <v>1061</v>
      </c>
    </row>
    <row r="154" spans="1:3" x14ac:dyDescent="0.25">
      <c r="A154" s="7" t="s">
        <v>310</v>
      </c>
      <c r="B154" s="7" t="s">
        <v>311</v>
      </c>
      <c r="C154" s="7">
        <f t="shared" ca="1" si="2"/>
        <v>1426</v>
      </c>
    </row>
    <row r="155" spans="1:3" x14ac:dyDescent="0.25">
      <c r="A155" s="7" t="s">
        <v>312</v>
      </c>
      <c r="B155" s="7" t="s">
        <v>313</v>
      </c>
      <c r="C155" s="7">
        <f t="shared" ca="1" si="2"/>
        <v>0</v>
      </c>
    </row>
    <row r="156" spans="1:3" x14ac:dyDescent="0.25">
      <c r="A156" s="7" t="s">
        <v>314</v>
      </c>
      <c r="B156" s="7" t="s">
        <v>315</v>
      </c>
      <c r="C156" s="7">
        <f t="shared" ca="1" si="2"/>
        <v>1403</v>
      </c>
    </row>
    <row r="157" spans="1:3" x14ac:dyDescent="0.25">
      <c r="A157" s="7" t="s">
        <v>316</v>
      </c>
      <c r="B157" s="7" t="s">
        <v>317</v>
      </c>
      <c r="C157" s="7">
        <f t="shared" ca="1" si="2"/>
        <v>504</v>
      </c>
    </row>
    <row r="158" spans="1:3" x14ac:dyDescent="0.25">
      <c r="A158" s="7" t="s">
        <v>318</v>
      </c>
      <c r="B158" s="7" t="s">
        <v>319</v>
      </c>
      <c r="C158" s="7">
        <f t="shared" ca="1" si="2"/>
        <v>993</v>
      </c>
    </row>
    <row r="159" spans="1:3" x14ac:dyDescent="0.25">
      <c r="A159" s="7" t="s">
        <v>320</v>
      </c>
      <c r="B159" s="7" t="s">
        <v>321</v>
      </c>
      <c r="C159" s="7">
        <f t="shared" ca="1" si="2"/>
        <v>54</v>
      </c>
    </row>
    <row r="160" spans="1:3" x14ac:dyDescent="0.25">
      <c r="A160" s="7" t="s">
        <v>322</v>
      </c>
      <c r="B160" s="7" t="s">
        <v>323</v>
      </c>
      <c r="C160" s="7">
        <f t="shared" ca="1" si="2"/>
        <v>832</v>
      </c>
    </row>
    <row r="161" spans="1:3" x14ac:dyDescent="0.25">
      <c r="A161" s="7" t="s">
        <v>324</v>
      </c>
      <c r="B161" s="7" t="s">
        <v>325</v>
      </c>
      <c r="C161" s="7">
        <f t="shared" ca="1" si="2"/>
        <v>526</v>
      </c>
    </row>
    <row r="162" spans="1:3" x14ac:dyDescent="0.25">
      <c r="A162" s="7" t="s">
        <v>326</v>
      </c>
      <c r="B162" s="7" t="s">
        <v>327</v>
      </c>
      <c r="C162" s="7">
        <f t="shared" ca="1" si="2"/>
        <v>199</v>
      </c>
    </row>
    <row r="163" spans="1:3" x14ac:dyDescent="0.25">
      <c r="A163" s="7" t="s">
        <v>328</v>
      </c>
      <c r="B163" s="7" t="s">
        <v>329</v>
      </c>
      <c r="C163" s="7">
        <f t="shared" ca="1" si="2"/>
        <v>1466</v>
      </c>
    </row>
    <row r="164" spans="1:3" x14ac:dyDescent="0.25">
      <c r="A164" s="7" t="s">
        <v>330</v>
      </c>
      <c r="B164" s="7" t="s">
        <v>331</v>
      </c>
      <c r="C164" s="7">
        <f t="shared" ca="1" si="2"/>
        <v>686</v>
      </c>
    </row>
    <row r="165" spans="1:3" x14ac:dyDescent="0.25">
      <c r="A165" s="7" t="s">
        <v>332</v>
      </c>
      <c r="B165" s="7" t="s">
        <v>333</v>
      </c>
      <c r="C165" s="7">
        <f t="shared" ca="1" si="2"/>
        <v>428</v>
      </c>
    </row>
    <row r="166" spans="1:3" x14ac:dyDescent="0.25">
      <c r="A166" s="7" t="s">
        <v>334</v>
      </c>
      <c r="B166" s="7" t="s">
        <v>335</v>
      </c>
      <c r="C166" s="7">
        <f t="shared" ca="1" si="2"/>
        <v>1404</v>
      </c>
    </row>
    <row r="167" spans="1:3" x14ac:dyDescent="0.25">
      <c r="A167" s="7" t="s">
        <v>336</v>
      </c>
      <c r="B167" s="7" t="s">
        <v>337</v>
      </c>
      <c r="C167" s="7">
        <f t="shared" ca="1" si="2"/>
        <v>45</v>
      </c>
    </row>
    <row r="168" spans="1:3" x14ac:dyDescent="0.25">
      <c r="A168" s="7" t="s">
        <v>338</v>
      </c>
      <c r="B168" s="7" t="s">
        <v>339</v>
      </c>
      <c r="C168" s="7">
        <f t="shared" ca="1" si="2"/>
        <v>395</v>
      </c>
    </row>
    <row r="169" spans="1:3" x14ac:dyDescent="0.25">
      <c r="A169" s="7" t="s">
        <v>340</v>
      </c>
      <c r="B169" s="7" t="s">
        <v>341</v>
      </c>
      <c r="C169" s="7">
        <f t="shared" ca="1" si="2"/>
        <v>70</v>
      </c>
    </row>
    <row r="170" spans="1:3" x14ac:dyDescent="0.25">
      <c r="A170" s="7" t="s">
        <v>342</v>
      </c>
      <c r="B170" s="7" t="s">
        <v>343</v>
      </c>
      <c r="C170" s="7">
        <f t="shared" ca="1" si="2"/>
        <v>821</v>
      </c>
    </row>
    <row r="171" spans="1:3" x14ac:dyDescent="0.25">
      <c r="A171" s="7" t="s">
        <v>344</v>
      </c>
      <c r="B171" s="7" t="s">
        <v>345</v>
      </c>
      <c r="C171" s="7">
        <f t="shared" ca="1" si="2"/>
        <v>810</v>
      </c>
    </row>
    <row r="172" spans="1:3" x14ac:dyDescent="0.25">
      <c r="A172" s="7" t="s">
        <v>346</v>
      </c>
      <c r="B172" s="7" t="s">
        <v>347</v>
      </c>
      <c r="C172" s="7">
        <f t="shared" ca="1" si="2"/>
        <v>845</v>
      </c>
    </row>
    <row r="173" spans="1:3" x14ac:dyDescent="0.25">
      <c r="A173" s="7" t="s">
        <v>348</v>
      </c>
      <c r="B173" s="7" t="s">
        <v>349</v>
      </c>
      <c r="C173" s="7">
        <f t="shared" ca="1" si="2"/>
        <v>246</v>
      </c>
    </row>
    <row r="174" spans="1:3" x14ac:dyDescent="0.25">
      <c r="A174" s="7" t="s">
        <v>350</v>
      </c>
      <c r="B174" s="7" t="s">
        <v>351</v>
      </c>
      <c r="C174" s="7">
        <f t="shared" ca="1" si="2"/>
        <v>53</v>
      </c>
    </row>
    <row r="175" spans="1:3" x14ac:dyDescent="0.25">
      <c r="A175" s="7" t="s">
        <v>352</v>
      </c>
      <c r="B175" s="7" t="s">
        <v>353</v>
      </c>
      <c r="C175" s="7">
        <f t="shared" ca="1" si="2"/>
        <v>1042</v>
      </c>
    </row>
    <row r="176" spans="1:3" x14ac:dyDescent="0.25">
      <c r="A176" s="7" t="s">
        <v>354</v>
      </c>
      <c r="B176" s="7" t="s">
        <v>355</v>
      </c>
      <c r="C176" s="7">
        <f t="shared" ca="1" si="2"/>
        <v>133</v>
      </c>
    </row>
    <row r="177" spans="1:3" x14ac:dyDescent="0.25">
      <c r="A177" s="7" t="s">
        <v>356</v>
      </c>
      <c r="B177" s="7" t="s">
        <v>357</v>
      </c>
      <c r="C177" s="7">
        <f t="shared" ca="1" si="2"/>
        <v>202</v>
      </c>
    </row>
    <row r="178" spans="1:3" x14ac:dyDescent="0.25">
      <c r="A178" s="7" t="s">
        <v>358</v>
      </c>
      <c r="B178" s="7" t="s">
        <v>359</v>
      </c>
      <c r="C178" s="7">
        <f t="shared" ca="1" si="2"/>
        <v>1302</v>
      </c>
    </row>
    <row r="179" spans="1:3" x14ac:dyDescent="0.25">
      <c r="A179" s="7" t="s">
        <v>360</v>
      </c>
      <c r="B179" s="7" t="s">
        <v>361</v>
      </c>
      <c r="C179" s="7">
        <f t="shared" ca="1" si="2"/>
        <v>803</v>
      </c>
    </row>
    <row r="180" spans="1:3" x14ac:dyDescent="0.25">
      <c r="A180" s="7" t="s">
        <v>362</v>
      </c>
      <c r="B180" s="7" t="s">
        <v>363</v>
      </c>
      <c r="C180" s="7">
        <f t="shared" ca="1" si="2"/>
        <v>556</v>
      </c>
    </row>
    <row r="181" spans="1:3" x14ac:dyDescent="0.25">
      <c r="A181" s="7" t="s">
        <v>364</v>
      </c>
      <c r="B181" s="7" t="s">
        <v>365</v>
      </c>
      <c r="C181" s="7">
        <f t="shared" ca="1" si="2"/>
        <v>1137</v>
      </c>
    </row>
    <row r="182" spans="1:3" x14ac:dyDescent="0.25">
      <c r="A182" s="7" t="s">
        <v>366</v>
      </c>
      <c r="B182" s="7" t="s">
        <v>367</v>
      </c>
      <c r="C182" s="7">
        <f t="shared" ca="1" si="2"/>
        <v>1014</v>
      </c>
    </row>
    <row r="183" spans="1:3" x14ac:dyDescent="0.25">
      <c r="A183" s="7" t="s">
        <v>368</v>
      </c>
      <c r="B183" s="7" t="s">
        <v>369</v>
      </c>
      <c r="C183" s="7">
        <f t="shared" ca="1" si="2"/>
        <v>137</v>
      </c>
    </row>
    <row r="184" spans="1:3" x14ac:dyDescent="0.25">
      <c r="A184" s="7" t="s">
        <v>370</v>
      </c>
      <c r="B184" s="7" t="s">
        <v>371</v>
      </c>
      <c r="C184" s="7">
        <f t="shared" ca="1" si="2"/>
        <v>1427</v>
      </c>
    </row>
    <row r="185" spans="1:3" x14ac:dyDescent="0.25">
      <c r="A185" s="7" t="s">
        <v>372</v>
      </c>
      <c r="B185" s="7" t="s">
        <v>373</v>
      </c>
      <c r="C185" s="7">
        <f t="shared" ca="1" si="2"/>
        <v>684</v>
      </c>
    </row>
    <row r="186" spans="1:3" x14ac:dyDescent="0.25">
      <c r="A186" s="7" t="s">
        <v>374</v>
      </c>
      <c r="B186" s="7" t="s">
        <v>375</v>
      </c>
      <c r="C186" s="7">
        <f t="shared" ca="1" si="2"/>
        <v>161</v>
      </c>
    </row>
    <row r="187" spans="1:3" x14ac:dyDescent="0.25">
      <c r="A187" s="7" t="s">
        <v>376</v>
      </c>
      <c r="B187" s="7" t="s">
        <v>377</v>
      </c>
      <c r="C187" s="7">
        <f t="shared" ca="1" si="2"/>
        <v>1500</v>
      </c>
    </row>
    <row r="188" spans="1:3" x14ac:dyDescent="0.25">
      <c r="A188" s="7" t="s">
        <v>378</v>
      </c>
      <c r="B188" s="7" t="s">
        <v>379</v>
      </c>
      <c r="C188" s="7">
        <f t="shared" ca="1" si="2"/>
        <v>720</v>
      </c>
    </row>
    <row r="189" spans="1:3" x14ac:dyDescent="0.25">
      <c r="A189" s="7" t="s">
        <v>380</v>
      </c>
      <c r="B189" s="7" t="s">
        <v>381</v>
      </c>
      <c r="C189" s="7">
        <f t="shared" ca="1" si="2"/>
        <v>389</v>
      </c>
    </row>
    <row r="190" spans="1:3" x14ac:dyDescent="0.25">
      <c r="A190" s="7" t="s">
        <v>382</v>
      </c>
      <c r="B190" s="7" t="s">
        <v>383</v>
      </c>
      <c r="C190" s="7">
        <f t="shared" ca="1" si="2"/>
        <v>479</v>
      </c>
    </row>
    <row r="191" spans="1:3" x14ac:dyDescent="0.25">
      <c r="A191" s="7" t="s">
        <v>384</v>
      </c>
      <c r="B191" s="7" t="s">
        <v>385</v>
      </c>
      <c r="C191" s="7">
        <f t="shared" ca="1" si="2"/>
        <v>1351</v>
      </c>
    </row>
    <row r="192" spans="1:3" x14ac:dyDescent="0.25">
      <c r="A192" s="7" t="s">
        <v>386</v>
      </c>
      <c r="B192" s="7" t="s">
        <v>387</v>
      </c>
      <c r="C192" s="7">
        <f t="shared" ca="1" si="2"/>
        <v>1381</v>
      </c>
    </row>
    <row r="193" spans="1:3" x14ac:dyDescent="0.25">
      <c r="A193" s="7" t="s">
        <v>388</v>
      </c>
      <c r="B193" s="7" t="s">
        <v>389</v>
      </c>
      <c r="C193" s="7">
        <f t="shared" ca="1" si="2"/>
        <v>1365</v>
      </c>
    </row>
    <row r="194" spans="1:3" x14ac:dyDescent="0.25">
      <c r="A194" s="7" t="s">
        <v>390</v>
      </c>
      <c r="B194" s="7" t="s">
        <v>391</v>
      </c>
      <c r="C194" s="7">
        <f t="shared" ref="C194:C210" ca="1" si="3">RANDBETWEEN(0,1500)</f>
        <v>237</v>
      </c>
    </row>
    <row r="195" spans="1:3" x14ac:dyDescent="0.25">
      <c r="A195" s="7" t="s">
        <v>392</v>
      </c>
      <c r="B195" s="7" t="s">
        <v>393</v>
      </c>
      <c r="C195" s="7">
        <f t="shared" ca="1" si="3"/>
        <v>480</v>
      </c>
    </row>
    <row r="196" spans="1:3" x14ac:dyDescent="0.25">
      <c r="A196" s="7" t="s">
        <v>394</v>
      </c>
      <c r="B196" s="7" t="s">
        <v>395</v>
      </c>
      <c r="C196" s="7">
        <f t="shared" ca="1" si="3"/>
        <v>227</v>
      </c>
    </row>
    <row r="197" spans="1:3" x14ac:dyDescent="0.25">
      <c r="A197" s="7" t="s">
        <v>396</v>
      </c>
      <c r="B197" s="7" t="s">
        <v>397</v>
      </c>
      <c r="C197" s="7">
        <f t="shared" ca="1" si="3"/>
        <v>870</v>
      </c>
    </row>
    <row r="198" spans="1:3" x14ac:dyDescent="0.25">
      <c r="A198" s="7" t="s">
        <v>398</v>
      </c>
      <c r="B198" s="7" t="s">
        <v>399</v>
      </c>
      <c r="C198" s="7">
        <f t="shared" ca="1" si="3"/>
        <v>1167</v>
      </c>
    </row>
    <row r="199" spans="1:3" x14ac:dyDescent="0.25">
      <c r="A199" s="7" t="s">
        <v>400</v>
      </c>
      <c r="B199" s="7" t="s">
        <v>401</v>
      </c>
      <c r="C199" s="7">
        <f t="shared" ca="1" si="3"/>
        <v>404</v>
      </c>
    </row>
    <row r="200" spans="1:3" x14ac:dyDescent="0.25">
      <c r="A200" s="7" t="s">
        <v>402</v>
      </c>
      <c r="B200" s="7" t="s">
        <v>403</v>
      </c>
      <c r="C200" s="7">
        <f t="shared" ca="1" si="3"/>
        <v>455</v>
      </c>
    </row>
    <row r="201" spans="1:3" x14ac:dyDescent="0.25">
      <c r="A201" s="7" t="s">
        <v>404</v>
      </c>
      <c r="B201" s="7" t="s">
        <v>405</v>
      </c>
      <c r="C201" s="7">
        <f t="shared" ca="1" si="3"/>
        <v>878</v>
      </c>
    </row>
    <row r="202" spans="1:3" x14ac:dyDescent="0.25">
      <c r="A202" s="7" t="s">
        <v>406</v>
      </c>
      <c r="B202" s="7" t="s">
        <v>407</v>
      </c>
      <c r="C202" s="7">
        <f t="shared" ca="1" si="3"/>
        <v>407</v>
      </c>
    </row>
    <row r="203" spans="1:3" x14ac:dyDescent="0.25">
      <c r="A203" s="7" t="s">
        <v>408</v>
      </c>
      <c r="B203" s="7" t="s">
        <v>409</v>
      </c>
      <c r="C203" s="7">
        <f t="shared" ca="1" si="3"/>
        <v>933</v>
      </c>
    </row>
    <row r="204" spans="1:3" x14ac:dyDescent="0.25">
      <c r="A204" s="7" t="s">
        <v>410</v>
      </c>
      <c r="B204" s="7" t="s">
        <v>411</v>
      </c>
      <c r="C204" s="7">
        <f t="shared" ca="1" si="3"/>
        <v>334</v>
      </c>
    </row>
    <row r="205" spans="1:3" x14ac:dyDescent="0.25">
      <c r="A205" s="7" t="s">
        <v>412</v>
      </c>
      <c r="B205" s="7" t="s">
        <v>413</v>
      </c>
      <c r="C205" s="7">
        <f t="shared" ca="1" si="3"/>
        <v>768</v>
      </c>
    </row>
    <row r="206" spans="1:3" x14ac:dyDescent="0.25">
      <c r="A206" s="7" t="s">
        <v>414</v>
      </c>
      <c r="B206" s="7" t="s">
        <v>415</v>
      </c>
      <c r="C206" s="7">
        <f t="shared" ca="1" si="3"/>
        <v>635</v>
      </c>
    </row>
    <row r="207" spans="1:3" x14ac:dyDescent="0.25">
      <c r="A207" s="7" t="s">
        <v>416</v>
      </c>
      <c r="B207" s="7" t="s">
        <v>417</v>
      </c>
      <c r="C207" s="7">
        <f t="shared" ca="1" si="3"/>
        <v>294</v>
      </c>
    </row>
    <row r="208" spans="1:3" x14ac:dyDescent="0.25">
      <c r="A208" s="7" t="s">
        <v>418</v>
      </c>
      <c r="B208" s="7" t="s">
        <v>419</v>
      </c>
      <c r="C208" s="7">
        <f t="shared" ca="1" si="3"/>
        <v>447</v>
      </c>
    </row>
    <row r="209" spans="1:3" x14ac:dyDescent="0.25">
      <c r="A209" s="7" t="s">
        <v>420</v>
      </c>
      <c r="B209" s="7" t="s">
        <v>421</v>
      </c>
      <c r="C209" s="7">
        <f t="shared" ca="1" si="3"/>
        <v>1109</v>
      </c>
    </row>
    <row r="210" spans="1:3" x14ac:dyDescent="0.25">
      <c r="A210" s="7" t="s">
        <v>422</v>
      </c>
      <c r="B210" s="7" t="s">
        <v>423</v>
      </c>
      <c r="C210" s="7">
        <f t="shared" ca="1" si="3"/>
        <v>825</v>
      </c>
    </row>
  </sheetData>
  <dataValidations count="1">
    <dataValidation type="custom" allowBlank="1" showInputMessage="1" showErrorMessage="1" errorTitle="Error" error="Duplicate data Entery" sqref="A1:A1048576" xr:uid="{FB3D8351-1AEE-46E7-9E0A-FBB785B71B38}">
      <formula1>(COUNTIFS(INDIRECT("TBLprd[Code]"),A1)=1)</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A35FA-F4E3-467C-A951-50CEBD86F606}">
  <sheetPr codeName="Sheet5"/>
  <dimension ref="A1:F211"/>
  <sheetViews>
    <sheetView workbookViewId="0">
      <selection activeCell="I9" sqref="I9"/>
    </sheetView>
  </sheetViews>
  <sheetFormatPr defaultRowHeight="15" x14ac:dyDescent="0.25"/>
  <cols>
    <col min="1" max="2" width="9.140625" style="1"/>
    <col min="3" max="3" width="18.28515625" style="1" customWidth="1"/>
    <col min="4" max="16384" width="9.140625" style="1"/>
  </cols>
  <sheetData>
    <row r="1" spans="1:6" x14ac:dyDescent="0.25">
      <c r="A1" s="1" t="s">
        <v>2</v>
      </c>
      <c r="B1" s="1" t="s">
        <v>1</v>
      </c>
      <c r="C1" s="1" t="s">
        <v>428</v>
      </c>
      <c r="D1" s="1" t="s">
        <v>429</v>
      </c>
      <c r="E1" s="1" t="s">
        <v>430</v>
      </c>
      <c r="F1" s="1" t="s">
        <v>431</v>
      </c>
    </row>
    <row r="2" spans="1:6" x14ac:dyDescent="0.25">
      <c r="A2" s="1" t="s">
        <v>3</v>
      </c>
      <c r="B2" s="1" t="s">
        <v>4</v>
      </c>
      <c r="C2" s="1">
        <f>VLOOKUP(Table13[[#This Row],[Code]],'Main Storage'!A:D,3,0)</f>
        <v>754</v>
      </c>
      <c r="D2" s="1">
        <f>VLOOKUP(Table13[[#This Row],[Code]],'Main Storage'!A:E,4,0)</f>
        <v>62</v>
      </c>
      <c r="E2" s="11"/>
      <c r="F2" s="1">
        <f>Table13[[#This Row],[Box]]-Table13[[#This Row],[Order]]</f>
        <v>62</v>
      </c>
    </row>
    <row r="3" spans="1:6" x14ac:dyDescent="0.25">
      <c r="A3" s="1" t="s">
        <v>6</v>
      </c>
      <c r="B3" s="1" t="s">
        <v>54</v>
      </c>
      <c r="C3" s="1">
        <f>VLOOKUP(Table13[[#This Row],[Code]],'Main Storage'!A:D,3,0)</f>
        <v>1440</v>
      </c>
      <c r="D3" s="1">
        <f>VLOOKUP(Table13[[#This Row],[Code]],'Main Storage'!A:E,4,0)</f>
        <v>120</v>
      </c>
      <c r="E3" s="11"/>
      <c r="F3" s="1">
        <f>Table13[[#This Row],[Box]]-Table13[[#This Row],[Order]]</f>
        <v>120</v>
      </c>
    </row>
    <row r="4" spans="1:6" x14ac:dyDescent="0.25">
      <c r="A4" s="1" t="s">
        <v>7</v>
      </c>
      <c r="B4" s="1" t="s">
        <v>55</v>
      </c>
      <c r="C4" s="1">
        <f>VLOOKUP(Table13[[#This Row],[Code]],'Main Storage'!A:D,3,0)</f>
        <v>1383</v>
      </c>
      <c r="D4" s="1">
        <f>VLOOKUP(Table13[[#This Row],[Code]],'Main Storage'!A:E,4,0)</f>
        <v>115</v>
      </c>
      <c r="E4" s="11"/>
      <c r="F4" s="1">
        <f>Table13[[#This Row],[Box]]-Table13[[#This Row],[Order]]</f>
        <v>115</v>
      </c>
    </row>
    <row r="5" spans="1:6" x14ac:dyDescent="0.25">
      <c r="A5" s="1" t="s">
        <v>8</v>
      </c>
      <c r="B5" s="1" t="s">
        <v>56</v>
      </c>
      <c r="C5" s="1">
        <f>VLOOKUP(Table13[[#This Row],[Code]],'Main Storage'!A:D,3,0)</f>
        <v>1376</v>
      </c>
      <c r="D5" s="1">
        <f>VLOOKUP(Table13[[#This Row],[Code]],'Main Storage'!A:E,4,0)</f>
        <v>114</v>
      </c>
      <c r="E5" s="11"/>
      <c r="F5" s="1">
        <f>Table13[[#This Row],[Box]]-Table13[[#This Row],[Order]]</f>
        <v>114</v>
      </c>
    </row>
    <row r="6" spans="1:6" x14ac:dyDescent="0.25">
      <c r="A6" s="1" t="s">
        <v>9</v>
      </c>
      <c r="B6" s="1" t="s">
        <v>57</v>
      </c>
      <c r="C6" s="1">
        <f>VLOOKUP(Table13[[#This Row],[Code]],'Main Storage'!A:D,3,0)</f>
        <v>826</v>
      </c>
      <c r="D6" s="1">
        <f>VLOOKUP(Table13[[#This Row],[Code]],'Main Storage'!A:E,4,0)</f>
        <v>68</v>
      </c>
      <c r="E6" s="11"/>
      <c r="F6" s="1">
        <f>Table13[[#This Row],[Box]]-Table13[[#This Row],[Order]]</f>
        <v>68</v>
      </c>
    </row>
    <row r="7" spans="1:6" x14ac:dyDescent="0.25">
      <c r="A7" s="1" t="s">
        <v>10</v>
      </c>
      <c r="B7" s="1" t="s">
        <v>58</v>
      </c>
      <c r="C7" s="1">
        <f>VLOOKUP(Table13[[#This Row],[Code]],'Main Storage'!A:D,3,0)</f>
        <v>939</v>
      </c>
      <c r="D7" s="1">
        <f>VLOOKUP(Table13[[#This Row],[Code]],'Main Storage'!A:E,4,0)</f>
        <v>78</v>
      </c>
      <c r="E7" s="11"/>
      <c r="F7" s="1">
        <f>Table13[[#This Row],[Box]]-Table13[[#This Row],[Order]]</f>
        <v>78</v>
      </c>
    </row>
    <row r="8" spans="1:6" x14ac:dyDescent="0.25">
      <c r="A8" s="1" t="s">
        <v>11</v>
      </c>
      <c r="B8" s="1" t="s">
        <v>59</v>
      </c>
      <c r="C8" s="1">
        <f>VLOOKUP(Table13[[#This Row],[Code]],'Main Storage'!A:D,3,0)</f>
        <v>908</v>
      </c>
      <c r="D8" s="1">
        <f>VLOOKUP(Table13[[#This Row],[Code]],'Main Storage'!A:E,4,0)</f>
        <v>75</v>
      </c>
      <c r="E8" s="11"/>
      <c r="F8" s="1">
        <f>Table13[[#This Row],[Box]]-Table13[[#This Row],[Order]]</f>
        <v>75</v>
      </c>
    </row>
    <row r="9" spans="1:6" x14ac:dyDescent="0.25">
      <c r="A9" s="1" t="s">
        <v>12</v>
      </c>
      <c r="B9" s="1" t="s">
        <v>60</v>
      </c>
      <c r="C9" s="1">
        <f>VLOOKUP(Table13[[#This Row],[Code]],'Main Storage'!A:D,3,0)</f>
        <v>675</v>
      </c>
      <c r="D9" s="1">
        <f>VLOOKUP(Table13[[#This Row],[Code]],'Main Storage'!A:E,4,0)</f>
        <v>56</v>
      </c>
      <c r="E9" s="11"/>
      <c r="F9" s="1">
        <f>Table13[[#This Row],[Box]]-Table13[[#This Row],[Order]]</f>
        <v>56</v>
      </c>
    </row>
    <row r="10" spans="1:6" x14ac:dyDescent="0.25">
      <c r="A10" s="1" t="s">
        <v>13</v>
      </c>
      <c r="B10" s="1" t="s">
        <v>61</v>
      </c>
      <c r="C10" s="1">
        <f>VLOOKUP(Table13[[#This Row],[Code]],'Main Storage'!A:D,3,0)</f>
        <v>590</v>
      </c>
      <c r="D10" s="1">
        <f>VLOOKUP(Table13[[#This Row],[Code]],'Main Storage'!A:E,4,0)</f>
        <v>49</v>
      </c>
      <c r="E10" s="11"/>
      <c r="F10" s="1">
        <f>Table13[[#This Row],[Box]]-Table13[[#This Row],[Order]]</f>
        <v>49</v>
      </c>
    </row>
    <row r="11" spans="1:6" x14ac:dyDescent="0.25">
      <c r="A11" s="1" t="s">
        <v>14</v>
      </c>
      <c r="B11" s="1" t="s">
        <v>62</v>
      </c>
      <c r="C11" s="1">
        <f>VLOOKUP(Table13[[#This Row],[Code]],'Main Storage'!A:D,3,0)</f>
        <v>973</v>
      </c>
      <c r="D11" s="1">
        <f>VLOOKUP(Table13[[#This Row],[Code]],'Main Storage'!A:E,4,0)</f>
        <v>81</v>
      </c>
      <c r="E11" s="11"/>
      <c r="F11" s="1">
        <f>Table13[[#This Row],[Box]]-Table13[[#This Row],[Order]]</f>
        <v>81</v>
      </c>
    </row>
    <row r="12" spans="1:6" x14ac:dyDescent="0.25">
      <c r="A12" s="1" t="s">
        <v>15</v>
      </c>
      <c r="B12" s="1" t="s">
        <v>63</v>
      </c>
      <c r="C12" s="1">
        <f>VLOOKUP(Table13[[#This Row],[Code]],'Main Storage'!A:D,3,0)</f>
        <v>608</v>
      </c>
      <c r="D12" s="1">
        <f>VLOOKUP(Table13[[#This Row],[Code]],'Main Storage'!A:E,4,0)</f>
        <v>50</v>
      </c>
      <c r="E12" s="11"/>
      <c r="F12" s="1">
        <f>Table13[[#This Row],[Box]]-Table13[[#This Row],[Order]]</f>
        <v>50</v>
      </c>
    </row>
    <row r="13" spans="1:6" x14ac:dyDescent="0.25">
      <c r="A13" s="1" t="s">
        <v>16</v>
      </c>
      <c r="B13" s="1" t="s">
        <v>64</v>
      </c>
      <c r="C13" s="1">
        <f>VLOOKUP(Table13[[#This Row],[Code]],'Main Storage'!A:D,3,0)</f>
        <v>1191</v>
      </c>
      <c r="D13" s="1">
        <f>VLOOKUP(Table13[[#This Row],[Code]],'Main Storage'!A:E,4,0)</f>
        <v>99</v>
      </c>
      <c r="E13" s="11"/>
      <c r="F13" s="1">
        <f>Table13[[#This Row],[Box]]-Table13[[#This Row],[Order]]</f>
        <v>99</v>
      </c>
    </row>
    <row r="14" spans="1:6" x14ac:dyDescent="0.25">
      <c r="A14" s="1" t="s">
        <v>17</v>
      </c>
      <c r="B14" s="1" t="s">
        <v>65</v>
      </c>
      <c r="C14" s="1">
        <f>VLOOKUP(Table13[[#This Row],[Code]],'Main Storage'!A:D,3,0)</f>
        <v>336</v>
      </c>
      <c r="D14" s="1">
        <f>VLOOKUP(Table13[[#This Row],[Code]],'Main Storage'!A:E,4,0)</f>
        <v>28</v>
      </c>
      <c r="E14" s="11"/>
      <c r="F14" s="1">
        <f>Table13[[#This Row],[Box]]-Table13[[#This Row],[Order]]</f>
        <v>28</v>
      </c>
    </row>
    <row r="15" spans="1:6" x14ac:dyDescent="0.25">
      <c r="A15" s="1" t="s">
        <v>18</v>
      </c>
      <c r="B15" s="1" t="s">
        <v>66</v>
      </c>
      <c r="C15" s="1">
        <f>VLOOKUP(Table13[[#This Row],[Code]],'Main Storage'!A:D,3,0)</f>
        <v>98</v>
      </c>
      <c r="D15" s="1">
        <f>VLOOKUP(Table13[[#This Row],[Code]],'Main Storage'!A:E,4,0)</f>
        <v>8</v>
      </c>
      <c r="E15" s="11"/>
      <c r="F15" s="1">
        <f>Table13[[#This Row],[Box]]-Table13[[#This Row],[Order]]</f>
        <v>8</v>
      </c>
    </row>
    <row r="16" spans="1:6" x14ac:dyDescent="0.25">
      <c r="A16" s="1" t="s">
        <v>19</v>
      </c>
      <c r="B16" s="1" t="s">
        <v>67</v>
      </c>
      <c r="C16" s="1">
        <f>VLOOKUP(Table13[[#This Row],[Code]],'Main Storage'!A:D,3,0)</f>
        <v>145</v>
      </c>
      <c r="D16" s="1">
        <f>VLOOKUP(Table13[[#This Row],[Code]],'Main Storage'!A:E,4,0)</f>
        <v>12</v>
      </c>
      <c r="E16" s="11"/>
      <c r="F16" s="1">
        <f>Table13[[#This Row],[Box]]-Table13[[#This Row],[Order]]</f>
        <v>12</v>
      </c>
    </row>
    <row r="17" spans="1:6" x14ac:dyDescent="0.25">
      <c r="A17" s="1" t="s">
        <v>20</v>
      </c>
      <c r="B17" s="1" t="s">
        <v>68</v>
      </c>
      <c r="C17" s="1">
        <f>VLOOKUP(Table13[[#This Row],[Code]],'Main Storage'!A:D,3,0)</f>
        <v>823</v>
      </c>
      <c r="D17" s="1">
        <f>VLOOKUP(Table13[[#This Row],[Code]],'Main Storage'!A:E,4,0)</f>
        <v>68</v>
      </c>
      <c r="E17" s="11"/>
      <c r="F17" s="1">
        <f>Table13[[#This Row],[Box]]-Table13[[#This Row],[Order]]</f>
        <v>68</v>
      </c>
    </row>
    <row r="18" spans="1:6" x14ac:dyDescent="0.25">
      <c r="A18" s="1" t="s">
        <v>21</v>
      </c>
      <c r="B18" s="1" t="s">
        <v>69</v>
      </c>
      <c r="C18" s="1">
        <f>VLOOKUP(Table13[[#This Row],[Code]],'Main Storage'!A:D,3,0)</f>
        <v>1238</v>
      </c>
      <c r="D18" s="1">
        <f>VLOOKUP(Table13[[#This Row],[Code]],'Main Storage'!A:E,4,0)</f>
        <v>103</v>
      </c>
      <c r="E18" s="11"/>
      <c r="F18" s="1">
        <f>Table13[[#This Row],[Box]]-Table13[[#This Row],[Order]]</f>
        <v>103</v>
      </c>
    </row>
    <row r="19" spans="1:6" x14ac:dyDescent="0.25">
      <c r="A19" s="1" t="s">
        <v>22</v>
      </c>
      <c r="B19" s="1" t="s">
        <v>70</v>
      </c>
      <c r="C19" s="1">
        <f>VLOOKUP(Table13[[#This Row],[Code]],'Main Storage'!A:D,3,0)</f>
        <v>624</v>
      </c>
      <c r="D19" s="1">
        <f>VLOOKUP(Table13[[#This Row],[Code]],'Main Storage'!A:E,4,0)</f>
        <v>52</v>
      </c>
      <c r="E19" s="11"/>
      <c r="F19" s="1">
        <f>Table13[[#This Row],[Box]]-Table13[[#This Row],[Order]]</f>
        <v>52</v>
      </c>
    </row>
    <row r="20" spans="1:6" x14ac:dyDescent="0.25">
      <c r="A20" s="1" t="s">
        <v>23</v>
      </c>
      <c r="B20" s="1" t="s">
        <v>71</v>
      </c>
      <c r="C20" s="1">
        <f>VLOOKUP(Table13[[#This Row],[Code]],'Main Storage'!A:D,3,0)</f>
        <v>788</v>
      </c>
      <c r="D20" s="1">
        <f>VLOOKUP(Table13[[#This Row],[Code]],'Main Storage'!A:E,4,0)</f>
        <v>65</v>
      </c>
      <c r="E20" s="11"/>
      <c r="F20" s="1">
        <f>Table13[[#This Row],[Box]]-Table13[[#This Row],[Order]]</f>
        <v>65</v>
      </c>
    </row>
    <row r="21" spans="1:6" x14ac:dyDescent="0.25">
      <c r="A21" s="1" t="s">
        <v>24</v>
      </c>
      <c r="B21" s="1" t="s">
        <v>72</v>
      </c>
      <c r="C21" s="1">
        <f>VLOOKUP(Table13[[#This Row],[Code]],'Main Storage'!A:D,3,0)</f>
        <v>368</v>
      </c>
      <c r="D21" s="1">
        <f>VLOOKUP(Table13[[#This Row],[Code]],'Main Storage'!A:E,4,0)</f>
        <v>30</v>
      </c>
      <c r="E21" s="11"/>
      <c r="F21" s="1">
        <f>Table13[[#This Row],[Box]]-Table13[[#This Row],[Order]]</f>
        <v>30</v>
      </c>
    </row>
    <row r="22" spans="1:6" x14ac:dyDescent="0.25">
      <c r="A22" s="1" t="s">
        <v>25</v>
      </c>
      <c r="B22" s="1" t="s">
        <v>73</v>
      </c>
      <c r="C22" s="1">
        <f>VLOOKUP(Table13[[#This Row],[Code]],'Main Storage'!A:D,3,0)</f>
        <v>281</v>
      </c>
      <c r="D22" s="1">
        <f>VLOOKUP(Table13[[#This Row],[Code]],'Main Storage'!A:E,4,0)</f>
        <v>23</v>
      </c>
      <c r="E22" s="11"/>
      <c r="F22" s="1">
        <f>Table13[[#This Row],[Box]]-Table13[[#This Row],[Order]]</f>
        <v>23</v>
      </c>
    </row>
    <row r="23" spans="1:6" x14ac:dyDescent="0.25">
      <c r="A23" s="1" t="s">
        <v>26</v>
      </c>
      <c r="B23" s="1" t="s">
        <v>74</v>
      </c>
      <c r="C23" s="1">
        <f>VLOOKUP(Table13[[#This Row],[Code]],'Main Storage'!A:D,3,0)</f>
        <v>1480</v>
      </c>
      <c r="D23" s="1">
        <f>VLOOKUP(Table13[[#This Row],[Code]],'Main Storage'!A:E,4,0)</f>
        <v>123</v>
      </c>
      <c r="E23" s="11"/>
      <c r="F23" s="1">
        <f>Table13[[#This Row],[Box]]-Table13[[#This Row],[Order]]</f>
        <v>123</v>
      </c>
    </row>
    <row r="24" spans="1:6" x14ac:dyDescent="0.25">
      <c r="A24" s="1" t="s">
        <v>27</v>
      </c>
      <c r="B24" s="1" t="s">
        <v>75</v>
      </c>
      <c r="C24" s="1">
        <f>VLOOKUP(Table13[[#This Row],[Code]],'Main Storage'!A:D,3,0)</f>
        <v>1088</v>
      </c>
      <c r="D24" s="1">
        <f>VLOOKUP(Table13[[#This Row],[Code]],'Main Storage'!A:E,4,0)</f>
        <v>90</v>
      </c>
      <c r="E24" s="11"/>
      <c r="F24" s="1">
        <f>Table13[[#This Row],[Box]]-Table13[[#This Row],[Order]]</f>
        <v>90</v>
      </c>
    </row>
    <row r="25" spans="1:6" x14ac:dyDescent="0.25">
      <c r="A25" s="1" t="s">
        <v>28</v>
      </c>
      <c r="B25" s="1" t="s">
        <v>76</v>
      </c>
      <c r="C25" s="1">
        <f>VLOOKUP(Table13[[#This Row],[Code]],'Main Storage'!A:D,3,0)</f>
        <v>8</v>
      </c>
      <c r="D25" s="1">
        <f>VLOOKUP(Table13[[#This Row],[Code]],'Main Storage'!A:E,4,0)</f>
        <v>0</v>
      </c>
      <c r="E25" s="11"/>
      <c r="F25" s="1">
        <f>Table13[[#This Row],[Box]]-Table13[[#This Row],[Order]]</f>
        <v>0</v>
      </c>
    </row>
    <row r="26" spans="1:6" x14ac:dyDescent="0.25">
      <c r="A26" s="1" t="s">
        <v>29</v>
      </c>
      <c r="B26" s="1" t="s">
        <v>77</v>
      </c>
      <c r="C26" s="1">
        <f>VLOOKUP(Table13[[#This Row],[Code]],'Main Storage'!A:D,3,0)</f>
        <v>82</v>
      </c>
      <c r="D26" s="1">
        <f>VLOOKUP(Table13[[#This Row],[Code]],'Main Storage'!A:E,4,0)</f>
        <v>6</v>
      </c>
      <c r="E26" s="11"/>
      <c r="F26" s="1">
        <f>Table13[[#This Row],[Box]]-Table13[[#This Row],[Order]]</f>
        <v>6</v>
      </c>
    </row>
    <row r="27" spans="1:6" x14ac:dyDescent="0.25">
      <c r="A27" s="1" t="s">
        <v>30</v>
      </c>
      <c r="B27" s="1" t="s">
        <v>78</v>
      </c>
      <c r="C27" s="1">
        <f>VLOOKUP(Table13[[#This Row],[Code]],'Main Storage'!A:D,3,0)</f>
        <v>518</v>
      </c>
      <c r="D27" s="1">
        <f>VLOOKUP(Table13[[#This Row],[Code]],'Main Storage'!A:E,4,0)</f>
        <v>43</v>
      </c>
      <c r="E27" s="11"/>
      <c r="F27" s="1">
        <f>Table13[[#This Row],[Box]]-Table13[[#This Row],[Order]]</f>
        <v>43</v>
      </c>
    </row>
    <row r="28" spans="1:6" x14ac:dyDescent="0.25">
      <c r="A28" s="1" t="s">
        <v>31</v>
      </c>
      <c r="B28" s="1" t="s">
        <v>79</v>
      </c>
      <c r="C28" s="1">
        <f>VLOOKUP(Table13[[#This Row],[Code]],'Main Storage'!A:D,3,0)</f>
        <v>459</v>
      </c>
      <c r="D28" s="1">
        <f>VLOOKUP(Table13[[#This Row],[Code]],'Main Storage'!A:E,4,0)</f>
        <v>38</v>
      </c>
      <c r="E28" s="11"/>
      <c r="F28" s="1">
        <f>Table13[[#This Row],[Box]]-Table13[[#This Row],[Order]]</f>
        <v>38</v>
      </c>
    </row>
    <row r="29" spans="1:6" x14ac:dyDescent="0.25">
      <c r="A29" s="1" t="s">
        <v>32</v>
      </c>
      <c r="B29" s="1" t="s">
        <v>80</v>
      </c>
      <c r="C29" s="1">
        <f>VLOOKUP(Table13[[#This Row],[Code]],'Main Storage'!A:D,3,0)</f>
        <v>305</v>
      </c>
      <c r="D29" s="1">
        <f>VLOOKUP(Table13[[#This Row],[Code]],'Main Storage'!A:E,4,0)</f>
        <v>25</v>
      </c>
      <c r="E29" s="11"/>
      <c r="F29" s="1">
        <f>Table13[[#This Row],[Box]]-Table13[[#This Row],[Order]]</f>
        <v>25</v>
      </c>
    </row>
    <row r="30" spans="1:6" x14ac:dyDescent="0.25">
      <c r="A30" s="1" t="s">
        <v>33</v>
      </c>
      <c r="B30" s="1" t="s">
        <v>81</v>
      </c>
      <c r="C30" s="1">
        <f>VLOOKUP(Table13[[#This Row],[Code]],'Main Storage'!A:D,3,0)</f>
        <v>348</v>
      </c>
      <c r="D30" s="1">
        <f>VLOOKUP(Table13[[#This Row],[Code]],'Main Storage'!A:E,4,0)</f>
        <v>29</v>
      </c>
      <c r="E30" s="11"/>
      <c r="F30" s="1">
        <f>Table13[[#This Row],[Box]]-Table13[[#This Row],[Order]]</f>
        <v>29</v>
      </c>
    </row>
    <row r="31" spans="1:6" x14ac:dyDescent="0.25">
      <c r="A31" s="1" t="s">
        <v>34</v>
      </c>
      <c r="B31" s="1" t="s">
        <v>82</v>
      </c>
      <c r="C31" s="1">
        <f>VLOOKUP(Table13[[#This Row],[Code]],'Main Storage'!A:D,3,0)</f>
        <v>222</v>
      </c>
      <c r="D31" s="1">
        <f>VLOOKUP(Table13[[#This Row],[Code]],'Main Storage'!A:E,4,0)</f>
        <v>18</v>
      </c>
      <c r="E31" s="11"/>
      <c r="F31" s="1">
        <f>Table13[[#This Row],[Box]]-Table13[[#This Row],[Order]]</f>
        <v>18</v>
      </c>
    </row>
    <row r="32" spans="1:6" x14ac:dyDescent="0.25">
      <c r="A32" s="1" t="s">
        <v>35</v>
      </c>
      <c r="B32" s="1" t="s">
        <v>83</v>
      </c>
      <c r="C32" s="1">
        <f>VLOOKUP(Table13[[#This Row],[Code]],'Main Storage'!A:D,3,0)</f>
        <v>729</v>
      </c>
      <c r="D32" s="1">
        <f>VLOOKUP(Table13[[#This Row],[Code]],'Main Storage'!A:E,4,0)</f>
        <v>60</v>
      </c>
      <c r="E32" s="11"/>
      <c r="F32" s="1">
        <f>Table13[[#This Row],[Box]]-Table13[[#This Row],[Order]]</f>
        <v>60</v>
      </c>
    </row>
    <row r="33" spans="1:6" x14ac:dyDescent="0.25">
      <c r="A33" s="1" t="s">
        <v>36</v>
      </c>
      <c r="B33" s="1" t="s">
        <v>84</v>
      </c>
      <c r="C33" s="1">
        <f>VLOOKUP(Table13[[#This Row],[Code]],'Main Storage'!A:D,3,0)</f>
        <v>874</v>
      </c>
      <c r="D33" s="1">
        <f>VLOOKUP(Table13[[#This Row],[Code]],'Main Storage'!A:E,4,0)</f>
        <v>72</v>
      </c>
      <c r="E33" s="11"/>
      <c r="F33" s="1">
        <f>Table13[[#This Row],[Box]]-Table13[[#This Row],[Order]]</f>
        <v>72</v>
      </c>
    </row>
    <row r="34" spans="1:6" x14ac:dyDescent="0.25">
      <c r="A34" s="1" t="s">
        <v>37</v>
      </c>
      <c r="B34" s="1" t="s">
        <v>85</v>
      </c>
      <c r="C34" s="1">
        <f>VLOOKUP(Table13[[#This Row],[Code]],'Main Storage'!A:D,3,0)</f>
        <v>377</v>
      </c>
      <c r="D34" s="1">
        <f>VLOOKUP(Table13[[#This Row],[Code]],'Main Storage'!A:E,4,0)</f>
        <v>31</v>
      </c>
      <c r="E34" s="11"/>
      <c r="F34" s="1">
        <f>Table13[[#This Row],[Box]]-Table13[[#This Row],[Order]]</f>
        <v>31</v>
      </c>
    </row>
    <row r="35" spans="1:6" x14ac:dyDescent="0.25">
      <c r="A35" s="1" t="s">
        <v>38</v>
      </c>
      <c r="B35" s="1" t="s">
        <v>86</v>
      </c>
      <c r="C35" s="1">
        <f>VLOOKUP(Table13[[#This Row],[Code]],'Main Storage'!A:D,3,0)</f>
        <v>1189</v>
      </c>
      <c r="D35" s="1">
        <f>VLOOKUP(Table13[[#This Row],[Code]],'Main Storage'!A:E,4,0)</f>
        <v>99</v>
      </c>
      <c r="E35" s="11"/>
      <c r="F35" s="1">
        <f>Table13[[#This Row],[Box]]-Table13[[#This Row],[Order]]</f>
        <v>99</v>
      </c>
    </row>
    <row r="36" spans="1:6" x14ac:dyDescent="0.25">
      <c r="A36" s="1" t="s">
        <v>39</v>
      </c>
      <c r="B36" s="1" t="s">
        <v>87</v>
      </c>
      <c r="C36" s="1">
        <f>VLOOKUP(Table13[[#This Row],[Code]],'Main Storage'!A:D,3,0)</f>
        <v>1006</v>
      </c>
      <c r="D36" s="1">
        <f>VLOOKUP(Table13[[#This Row],[Code]],'Main Storage'!A:E,4,0)</f>
        <v>83</v>
      </c>
      <c r="E36" s="11"/>
      <c r="F36" s="1">
        <f>Table13[[#This Row],[Box]]-Table13[[#This Row],[Order]]</f>
        <v>83</v>
      </c>
    </row>
    <row r="37" spans="1:6" x14ac:dyDescent="0.25">
      <c r="A37" s="1" t="s">
        <v>40</v>
      </c>
      <c r="B37" s="1" t="s">
        <v>88</v>
      </c>
      <c r="C37" s="1">
        <f>VLOOKUP(Table13[[#This Row],[Code]],'Main Storage'!A:D,3,0)</f>
        <v>59</v>
      </c>
      <c r="D37" s="1">
        <f>VLOOKUP(Table13[[#This Row],[Code]],'Main Storage'!A:E,4,0)</f>
        <v>4</v>
      </c>
      <c r="E37" s="11"/>
      <c r="F37" s="1">
        <f>Table13[[#This Row],[Box]]-Table13[[#This Row],[Order]]</f>
        <v>4</v>
      </c>
    </row>
    <row r="38" spans="1:6" x14ac:dyDescent="0.25">
      <c r="A38" s="1" t="s">
        <v>41</v>
      </c>
      <c r="B38" s="1" t="s">
        <v>89</v>
      </c>
      <c r="C38" s="1">
        <f>VLOOKUP(Table13[[#This Row],[Code]],'Main Storage'!A:D,3,0)</f>
        <v>1087</v>
      </c>
      <c r="D38" s="1">
        <f>VLOOKUP(Table13[[#This Row],[Code]],'Main Storage'!A:E,4,0)</f>
        <v>90</v>
      </c>
      <c r="E38" s="11"/>
      <c r="F38" s="1">
        <f>Table13[[#This Row],[Box]]-Table13[[#This Row],[Order]]</f>
        <v>90</v>
      </c>
    </row>
    <row r="39" spans="1:6" x14ac:dyDescent="0.25">
      <c r="A39" s="1" t="s">
        <v>42</v>
      </c>
      <c r="B39" s="1" t="s">
        <v>90</v>
      </c>
      <c r="C39" s="1">
        <f>VLOOKUP(Table13[[#This Row],[Code]],'Main Storage'!A:D,3,0)</f>
        <v>281</v>
      </c>
      <c r="D39" s="1">
        <f>VLOOKUP(Table13[[#This Row],[Code]],'Main Storage'!A:E,4,0)</f>
        <v>23</v>
      </c>
      <c r="E39" s="11"/>
      <c r="F39" s="1">
        <f>Table13[[#This Row],[Box]]-Table13[[#This Row],[Order]]</f>
        <v>23</v>
      </c>
    </row>
    <row r="40" spans="1:6" x14ac:dyDescent="0.25">
      <c r="A40" s="1" t="s">
        <v>43</v>
      </c>
      <c r="B40" s="1" t="s">
        <v>91</v>
      </c>
      <c r="C40" s="1">
        <f>VLOOKUP(Table13[[#This Row],[Code]],'Main Storage'!A:D,3,0)</f>
        <v>1125</v>
      </c>
      <c r="D40" s="1">
        <f>VLOOKUP(Table13[[#This Row],[Code]],'Main Storage'!A:E,4,0)</f>
        <v>93</v>
      </c>
      <c r="E40" s="11"/>
      <c r="F40" s="1">
        <f>Table13[[#This Row],[Box]]-Table13[[#This Row],[Order]]</f>
        <v>93</v>
      </c>
    </row>
    <row r="41" spans="1:6" x14ac:dyDescent="0.25">
      <c r="A41" s="1" t="s">
        <v>44</v>
      </c>
      <c r="B41" s="1" t="s">
        <v>92</v>
      </c>
      <c r="C41" s="1">
        <f>VLOOKUP(Table13[[#This Row],[Code]],'Main Storage'!A:D,3,0)</f>
        <v>281</v>
      </c>
      <c r="D41" s="1">
        <f>VLOOKUP(Table13[[#This Row],[Code]],'Main Storage'!A:E,4,0)</f>
        <v>23</v>
      </c>
      <c r="E41" s="11"/>
      <c r="F41" s="1">
        <f>Table13[[#This Row],[Box]]-Table13[[#This Row],[Order]]</f>
        <v>23</v>
      </c>
    </row>
    <row r="42" spans="1:6" x14ac:dyDescent="0.25">
      <c r="A42" s="1" t="s">
        <v>45</v>
      </c>
      <c r="B42" s="1" t="s">
        <v>93</v>
      </c>
      <c r="C42" s="1">
        <f>VLOOKUP(Table13[[#This Row],[Code]],'Main Storage'!A:D,3,0)</f>
        <v>354</v>
      </c>
      <c r="D42" s="1">
        <f>VLOOKUP(Table13[[#This Row],[Code]],'Main Storage'!A:E,4,0)</f>
        <v>29</v>
      </c>
      <c r="E42" s="11"/>
      <c r="F42" s="1">
        <f>Table13[[#This Row],[Box]]-Table13[[#This Row],[Order]]</f>
        <v>29</v>
      </c>
    </row>
    <row r="43" spans="1:6" x14ac:dyDescent="0.25">
      <c r="A43" s="1" t="s">
        <v>46</v>
      </c>
      <c r="B43" s="1" t="s">
        <v>94</v>
      </c>
      <c r="C43" s="1">
        <f>VLOOKUP(Table13[[#This Row],[Code]],'Main Storage'!A:D,3,0)</f>
        <v>649</v>
      </c>
      <c r="D43" s="1">
        <f>VLOOKUP(Table13[[#This Row],[Code]],'Main Storage'!A:E,4,0)</f>
        <v>54</v>
      </c>
      <c r="E43" s="11"/>
      <c r="F43" s="1">
        <f>Table13[[#This Row],[Box]]-Table13[[#This Row],[Order]]</f>
        <v>54</v>
      </c>
    </row>
    <row r="44" spans="1:6" x14ac:dyDescent="0.25">
      <c r="A44" s="1" t="s">
        <v>47</v>
      </c>
      <c r="B44" s="1" t="s">
        <v>95</v>
      </c>
      <c r="C44" s="1">
        <f>VLOOKUP(Table13[[#This Row],[Code]],'Main Storage'!A:D,3,0)</f>
        <v>1322</v>
      </c>
      <c r="D44" s="1">
        <f>VLOOKUP(Table13[[#This Row],[Code]],'Main Storage'!A:E,4,0)</f>
        <v>110</v>
      </c>
      <c r="E44" s="11"/>
      <c r="F44" s="1">
        <f>Table13[[#This Row],[Box]]-Table13[[#This Row],[Order]]</f>
        <v>110</v>
      </c>
    </row>
    <row r="45" spans="1:6" x14ac:dyDescent="0.25">
      <c r="A45" s="1" t="s">
        <v>48</v>
      </c>
      <c r="B45" s="1" t="s">
        <v>96</v>
      </c>
      <c r="C45" s="1">
        <f>VLOOKUP(Table13[[#This Row],[Code]],'Main Storage'!A:D,3,0)</f>
        <v>1038</v>
      </c>
      <c r="D45" s="1">
        <f>VLOOKUP(Table13[[#This Row],[Code]],'Main Storage'!A:E,4,0)</f>
        <v>86</v>
      </c>
      <c r="E45" s="11"/>
      <c r="F45" s="1">
        <f>Table13[[#This Row],[Box]]-Table13[[#This Row],[Order]]</f>
        <v>86</v>
      </c>
    </row>
    <row r="46" spans="1:6" x14ac:dyDescent="0.25">
      <c r="A46" s="1" t="s">
        <v>49</v>
      </c>
      <c r="B46" s="1" t="s">
        <v>97</v>
      </c>
      <c r="C46" s="1">
        <f>VLOOKUP(Table13[[#This Row],[Code]],'Main Storage'!A:D,3,0)</f>
        <v>340</v>
      </c>
      <c r="D46" s="1">
        <f>VLOOKUP(Table13[[#This Row],[Code]],'Main Storage'!A:E,4,0)</f>
        <v>28</v>
      </c>
      <c r="E46" s="11"/>
      <c r="F46" s="1">
        <f>Table13[[#This Row],[Box]]-Table13[[#This Row],[Order]]</f>
        <v>28</v>
      </c>
    </row>
    <row r="47" spans="1:6" x14ac:dyDescent="0.25">
      <c r="A47" s="1" t="s">
        <v>50</v>
      </c>
      <c r="B47" s="1" t="s">
        <v>98</v>
      </c>
      <c r="C47" s="1">
        <f>VLOOKUP(Table13[[#This Row],[Code]],'Main Storage'!A:D,3,0)</f>
        <v>399</v>
      </c>
      <c r="D47" s="1">
        <f>VLOOKUP(Table13[[#This Row],[Code]],'Main Storage'!A:E,4,0)</f>
        <v>33</v>
      </c>
      <c r="E47" s="11"/>
      <c r="F47" s="1">
        <f>Table13[[#This Row],[Box]]-Table13[[#This Row],[Order]]</f>
        <v>33</v>
      </c>
    </row>
    <row r="48" spans="1:6" x14ac:dyDescent="0.25">
      <c r="A48" s="1" t="s">
        <v>51</v>
      </c>
      <c r="B48" s="1" t="s">
        <v>99</v>
      </c>
      <c r="C48" s="1">
        <f>VLOOKUP(Table13[[#This Row],[Code]],'Main Storage'!A:D,3,0)</f>
        <v>468</v>
      </c>
      <c r="D48" s="1">
        <f>VLOOKUP(Table13[[#This Row],[Code]],'Main Storage'!A:E,4,0)</f>
        <v>39</v>
      </c>
      <c r="E48" s="11"/>
      <c r="F48" s="1">
        <f>Table13[[#This Row],[Box]]-Table13[[#This Row],[Order]]</f>
        <v>39</v>
      </c>
    </row>
    <row r="49" spans="1:6" x14ac:dyDescent="0.25">
      <c r="A49" s="1" t="s">
        <v>52</v>
      </c>
      <c r="B49" s="1" t="s">
        <v>100</v>
      </c>
      <c r="C49" s="1">
        <f>VLOOKUP(Table13[[#This Row],[Code]],'Main Storage'!A:D,3,0)</f>
        <v>829</v>
      </c>
      <c r="D49" s="1">
        <f>VLOOKUP(Table13[[#This Row],[Code]],'Main Storage'!A:E,4,0)</f>
        <v>69</v>
      </c>
      <c r="E49" s="11"/>
      <c r="F49" s="1">
        <f>Table13[[#This Row],[Box]]-Table13[[#This Row],[Order]]</f>
        <v>69</v>
      </c>
    </row>
    <row r="50" spans="1:6" x14ac:dyDescent="0.25">
      <c r="A50" s="1" t="s">
        <v>53</v>
      </c>
      <c r="B50" s="1" t="s">
        <v>101</v>
      </c>
      <c r="C50" s="1">
        <f>VLOOKUP(Table13[[#This Row],[Code]],'Main Storage'!A:D,3,0)</f>
        <v>1420</v>
      </c>
      <c r="D50" s="1">
        <f>VLOOKUP(Table13[[#This Row],[Code]],'Main Storage'!A:E,4,0)</f>
        <v>118</v>
      </c>
      <c r="E50" s="11"/>
      <c r="F50" s="1">
        <f>Table13[[#This Row],[Box]]-Table13[[#This Row],[Order]]</f>
        <v>118</v>
      </c>
    </row>
    <row r="51" spans="1:6" x14ac:dyDescent="0.25">
      <c r="A51" s="1" t="s">
        <v>102</v>
      </c>
      <c r="B51" s="1" t="s">
        <v>152</v>
      </c>
      <c r="C51" s="1">
        <f>VLOOKUP(Table13[[#This Row],[Code]],'Main Storage'!A:D,3,0)</f>
        <v>765</v>
      </c>
      <c r="D51" s="1">
        <f>VLOOKUP(Table13[[#This Row],[Code]],'Main Storage'!A:E,4,0)</f>
        <v>15</v>
      </c>
      <c r="E51" s="11"/>
      <c r="F51" s="1">
        <f>Table13[[#This Row],[Box]]-Table13[[#This Row],[Order]]</f>
        <v>15</v>
      </c>
    </row>
    <row r="52" spans="1:6" x14ac:dyDescent="0.25">
      <c r="A52" s="1" t="s">
        <v>103</v>
      </c>
      <c r="B52" s="1" t="s">
        <v>153</v>
      </c>
      <c r="C52" s="1">
        <f>VLOOKUP(Table13[[#This Row],[Code]],'Main Storage'!A:D,3,0)</f>
        <v>916</v>
      </c>
      <c r="D52" s="1">
        <f>VLOOKUP(Table13[[#This Row],[Code]],'Main Storage'!A:E,4,0)</f>
        <v>19</v>
      </c>
      <c r="E52" s="11"/>
      <c r="F52" s="1">
        <f>Table13[[#This Row],[Box]]-Table13[[#This Row],[Order]]</f>
        <v>19</v>
      </c>
    </row>
    <row r="53" spans="1:6" x14ac:dyDescent="0.25">
      <c r="A53" s="1" t="s">
        <v>104</v>
      </c>
      <c r="B53" s="1" t="s">
        <v>154</v>
      </c>
      <c r="C53" s="1">
        <f>VLOOKUP(Table13[[#This Row],[Code]],'Main Storage'!A:D,3,0)</f>
        <v>1012</v>
      </c>
      <c r="D53" s="1">
        <f>VLOOKUP(Table13[[#This Row],[Code]],'Main Storage'!A:E,4,0)</f>
        <v>21</v>
      </c>
      <c r="E53" s="11"/>
      <c r="F53" s="1">
        <f>Table13[[#This Row],[Box]]-Table13[[#This Row],[Order]]</f>
        <v>21</v>
      </c>
    </row>
    <row r="54" spans="1:6" x14ac:dyDescent="0.25">
      <c r="A54" s="1" t="s">
        <v>105</v>
      </c>
      <c r="B54" s="1" t="s">
        <v>155</v>
      </c>
      <c r="C54" s="1">
        <f>VLOOKUP(Table13[[#This Row],[Code]],'Main Storage'!A:D,3,0)</f>
        <v>299</v>
      </c>
      <c r="D54" s="1">
        <f>VLOOKUP(Table13[[#This Row],[Code]],'Main Storage'!A:E,4,0)</f>
        <v>6</v>
      </c>
      <c r="E54" s="11"/>
      <c r="F54" s="1">
        <f>Table13[[#This Row],[Box]]-Table13[[#This Row],[Order]]</f>
        <v>6</v>
      </c>
    </row>
    <row r="55" spans="1:6" x14ac:dyDescent="0.25">
      <c r="A55" s="1" t="s">
        <v>106</v>
      </c>
      <c r="B55" s="1" t="s">
        <v>156</v>
      </c>
      <c r="C55" s="1">
        <f>VLOOKUP(Table13[[#This Row],[Code]],'Main Storage'!A:D,3,0)</f>
        <v>1361</v>
      </c>
      <c r="D55" s="1">
        <f>VLOOKUP(Table13[[#This Row],[Code]],'Main Storage'!A:E,4,0)</f>
        <v>28</v>
      </c>
      <c r="E55" s="11"/>
      <c r="F55" s="1">
        <f>Table13[[#This Row],[Box]]-Table13[[#This Row],[Order]]</f>
        <v>28</v>
      </c>
    </row>
    <row r="56" spans="1:6" x14ac:dyDescent="0.25">
      <c r="A56" s="1" t="s">
        <v>107</v>
      </c>
      <c r="B56" s="1" t="s">
        <v>157</v>
      </c>
      <c r="C56" s="1">
        <f>VLOOKUP(Table13[[#This Row],[Code]],'Main Storage'!A:D,3,0)</f>
        <v>621</v>
      </c>
      <c r="D56" s="1">
        <f>VLOOKUP(Table13[[#This Row],[Code]],'Main Storage'!A:E,4,0)</f>
        <v>12</v>
      </c>
      <c r="E56" s="11"/>
      <c r="F56" s="1">
        <f>Table13[[#This Row],[Box]]-Table13[[#This Row],[Order]]</f>
        <v>12</v>
      </c>
    </row>
    <row r="57" spans="1:6" x14ac:dyDescent="0.25">
      <c r="A57" s="1" t="s">
        <v>108</v>
      </c>
      <c r="B57" s="1" t="s">
        <v>158</v>
      </c>
      <c r="C57" s="1">
        <f>VLOOKUP(Table13[[#This Row],[Code]],'Main Storage'!A:D,3,0)</f>
        <v>775</v>
      </c>
      <c r="D57" s="1">
        <f>VLOOKUP(Table13[[#This Row],[Code]],'Main Storage'!A:E,4,0)</f>
        <v>16</v>
      </c>
      <c r="E57" s="11"/>
      <c r="F57" s="1">
        <f>Table13[[#This Row],[Box]]-Table13[[#This Row],[Order]]</f>
        <v>16</v>
      </c>
    </row>
    <row r="58" spans="1:6" x14ac:dyDescent="0.25">
      <c r="A58" s="1" t="s">
        <v>109</v>
      </c>
      <c r="B58" s="1" t="s">
        <v>159</v>
      </c>
      <c r="C58" s="1">
        <f>VLOOKUP(Table13[[#This Row],[Code]],'Main Storage'!A:D,3,0)</f>
        <v>316</v>
      </c>
      <c r="D58" s="1">
        <f>VLOOKUP(Table13[[#This Row],[Code]],'Main Storage'!A:E,4,0)</f>
        <v>6</v>
      </c>
      <c r="E58" s="11"/>
      <c r="F58" s="1">
        <f>Table13[[#This Row],[Box]]-Table13[[#This Row],[Order]]</f>
        <v>6</v>
      </c>
    </row>
    <row r="59" spans="1:6" x14ac:dyDescent="0.25">
      <c r="A59" s="1" t="s">
        <v>110</v>
      </c>
      <c r="B59" s="1" t="s">
        <v>160</v>
      </c>
      <c r="C59" s="1">
        <f>VLOOKUP(Table13[[#This Row],[Code]],'Main Storage'!A:D,3,0)</f>
        <v>553</v>
      </c>
      <c r="D59" s="1">
        <f>VLOOKUP(Table13[[#This Row],[Code]],'Main Storage'!A:E,4,0)</f>
        <v>11</v>
      </c>
      <c r="E59" s="11"/>
      <c r="F59" s="1">
        <f>Table13[[#This Row],[Box]]-Table13[[#This Row],[Order]]</f>
        <v>11</v>
      </c>
    </row>
    <row r="60" spans="1:6" x14ac:dyDescent="0.25">
      <c r="A60" s="1" t="s">
        <v>111</v>
      </c>
      <c r="B60" s="1" t="s">
        <v>161</v>
      </c>
      <c r="C60" s="1">
        <f>VLOOKUP(Table13[[#This Row],[Code]],'Main Storage'!A:D,3,0)</f>
        <v>130</v>
      </c>
      <c r="D60" s="1">
        <f>VLOOKUP(Table13[[#This Row],[Code]],'Main Storage'!A:E,4,0)</f>
        <v>2</v>
      </c>
      <c r="E60" s="11"/>
      <c r="F60" s="1">
        <f>Table13[[#This Row],[Box]]-Table13[[#This Row],[Order]]</f>
        <v>2</v>
      </c>
    </row>
    <row r="61" spans="1:6" x14ac:dyDescent="0.25">
      <c r="A61" s="1" t="s">
        <v>112</v>
      </c>
      <c r="B61" s="1" t="s">
        <v>162</v>
      </c>
      <c r="C61" s="1">
        <f>VLOOKUP(Table13[[#This Row],[Code]],'Main Storage'!A:D,3,0)</f>
        <v>890</v>
      </c>
      <c r="D61" s="1">
        <f>VLOOKUP(Table13[[#This Row],[Code]],'Main Storage'!A:E,4,0)</f>
        <v>18</v>
      </c>
      <c r="E61" s="11"/>
      <c r="F61" s="1">
        <f>Table13[[#This Row],[Box]]-Table13[[#This Row],[Order]]</f>
        <v>18</v>
      </c>
    </row>
    <row r="62" spans="1:6" x14ac:dyDescent="0.25">
      <c r="A62" s="1" t="s">
        <v>113</v>
      </c>
      <c r="B62" s="1" t="s">
        <v>163</v>
      </c>
      <c r="C62" s="1">
        <f>VLOOKUP(Table13[[#This Row],[Code]],'Main Storage'!A:D,3,0)</f>
        <v>255</v>
      </c>
      <c r="D62" s="1">
        <f>VLOOKUP(Table13[[#This Row],[Code]],'Main Storage'!A:E,4,0)</f>
        <v>5</v>
      </c>
      <c r="E62" s="11"/>
      <c r="F62" s="1">
        <f>Table13[[#This Row],[Box]]-Table13[[#This Row],[Order]]</f>
        <v>5</v>
      </c>
    </row>
    <row r="63" spans="1:6" x14ac:dyDescent="0.25">
      <c r="A63" s="1" t="s">
        <v>114</v>
      </c>
      <c r="B63" s="1" t="s">
        <v>164</v>
      </c>
      <c r="C63" s="1">
        <f>VLOOKUP(Table13[[#This Row],[Code]],'Main Storage'!A:D,3,0)</f>
        <v>1368</v>
      </c>
      <c r="D63" s="1">
        <f>VLOOKUP(Table13[[#This Row],[Code]],'Main Storage'!A:E,4,0)</f>
        <v>28</v>
      </c>
      <c r="E63" s="11"/>
      <c r="F63" s="1">
        <f>Table13[[#This Row],[Box]]-Table13[[#This Row],[Order]]</f>
        <v>28</v>
      </c>
    </row>
    <row r="64" spans="1:6" x14ac:dyDescent="0.25">
      <c r="A64" s="1" t="s">
        <v>115</v>
      </c>
      <c r="B64" s="1" t="s">
        <v>165</v>
      </c>
      <c r="C64" s="1">
        <f>VLOOKUP(Table13[[#This Row],[Code]],'Main Storage'!A:D,3,0)</f>
        <v>324</v>
      </c>
      <c r="D64" s="1">
        <f>VLOOKUP(Table13[[#This Row],[Code]],'Main Storage'!A:E,4,0)</f>
        <v>6</v>
      </c>
      <c r="E64" s="11"/>
      <c r="F64" s="1">
        <f>Table13[[#This Row],[Box]]-Table13[[#This Row],[Order]]</f>
        <v>6</v>
      </c>
    </row>
    <row r="65" spans="1:6" x14ac:dyDescent="0.25">
      <c r="A65" s="1" t="s">
        <v>116</v>
      </c>
      <c r="B65" s="1" t="s">
        <v>166</v>
      </c>
      <c r="C65" s="1">
        <f>VLOOKUP(Table13[[#This Row],[Code]],'Main Storage'!A:D,3,0)</f>
        <v>997</v>
      </c>
      <c r="D65" s="1">
        <f>VLOOKUP(Table13[[#This Row],[Code]],'Main Storage'!A:E,4,0)</f>
        <v>20</v>
      </c>
      <c r="E65" s="11"/>
      <c r="F65" s="1">
        <f>Table13[[#This Row],[Box]]-Table13[[#This Row],[Order]]</f>
        <v>20</v>
      </c>
    </row>
    <row r="66" spans="1:6" x14ac:dyDescent="0.25">
      <c r="A66" s="1" t="s">
        <v>117</v>
      </c>
      <c r="B66" s="1" t="s">
        <v>167</v>
      </c>
      <c r="C66" s="1">
        <f>VLOOKUP(Table13[[#This Row],[Code]],'Main Storage'!A:D,3,0)</f>
        <v>87</v>
      </c>
      <c r="D66" s="1">
        <f>VLOOKUP(Table13[[#This Row],[Code]],'Main Storage'!A:E,4,0)</f>
        <v>1</v>
      </c>
      <c r="E66" s="11"/>
      <c r="F66" s="1">
        <f>Table13[[#This Row],[Box]]-Table13[[#This Row],[Order]]</f>
        <v>1</v>
      </c>
    </row>
    <row r="67" spans="1:6" x14ac:dyDescent="0.25">
      <c r="A67" s="1" t="s">
        <v>118</v>
      </c>
      <c r="B67" s="1" t="s">
        <v>168</v>
      </c>
      <c r="C67" s="1">
        <f>VLOOKUP(Table13[[#This Row],[Code]],'Main Storage'!A:D,3,0)</f>
        <v>1436</v>
      </c>
      <c r="D67" s="1">
        <f>VLOOKUP(Table13[[#This Row],[Code]],'Main Storage'!A:E,4,0)</f>
        <v>29</v>
      </c>
      <c r="E67" s="11"/>
      <c r="F67" s="1">
        <f>Table13[[#This Row],[Box]]-Table13[[#This Row],[Order]]</f>
        <v>29</v>
      </c>
    </row>
    <row r="68" spans="1:6" x14ac:dyDescent="0.25">
      <c r="A68" s="1" t="s">
        <v>119</v>
      </c>
      <c r="B68" s="1" t="s">
        <v>169</v>
      </c>
      <c r="C68" s="1">
        <f>VLOOKUP(Table13[[#This Row],[Code]],'Main Storage'!A:D,3,0)</f>
        <v>1007</v>
      </c>
      <c r="D68" s="1">
        <f>VLOOKUP(Table13[[#This Row],[Code]],'Main Storage'!A:E,4,0)</f>
        <v>20</v>
      </c>
      <c r="E68" s="11"/>
      <c r="F68" s="1">
        <f>Table13[[#This Row],[Box]]-Table13[[#This Row],[Order]]</f>
        <v>20</v>
      </c>
    </row>
    <row r="69" spans="1:6" x14ac:dyDescent="0.25">
      <c r="A69" s="1" t="s">
        <v>120</v>
      </c>
      <c r="B69" s="1" t="s">
        <v>170</v>
      </c>
      <c r="C69" s="1">
        <f>VLOOKUP(Table13[[#This Row],[Code]],'Main Storage'!A:D,3,0)</f>
        <v>904</v>
      </c>
      <c r="D69" s="1">
        <f>VLOOKUP(Table13[[#This Row],[Code]],'Main Storage'!A:E,4,0)</f>
        <v>18</v>
      </c>
      <c r="E69" s="11"/>
      <c r="F69" s="1">
        <f>Table13[[#This Row],[Box]]-Table13[[#This Row],[Order]]</f>
        <v>18</v>
      </c>
    </row>
    <row r="70" spans="1:6" x14ac:dyDescent="0.25">
      <c r="A70" s="1" t="s">
        <v>121</v>
      </c>
      <c r="B70" s="1" t="s">
        <v>171</v>
      </c>
      <c r="C70" s="1">
        <f>VLOOKUP(Table13[[#This Row],[Code]],'Main Storage'!A:D,3,0)</f>
        <v>432</v>
      </c>
      <c r="D70" s="1">
        <f>VLOOKUP(Table13[[#This Row],[Code]],'Main Storage'!A:E,4,0)</f>
        <v>9</v>
      </c>
      <c r="E70" s="11"/>
      <c r="F70" s="1">
        <f>Table13[[#This Row],[Box]]-Table13[[#This Row],[Order]]</f>
        <v>9</v>
      </c>
    </row>
    <row r="71" spans="1:6" x14ac:dyDescent="0.25">
      <c r="A71" s="1" t="s">
        <v>122</v>
      </c>
      <c r="B71" s="1" t="s">
        <v>172</v>
      </c>
      <c r="C71" s="1">
        <f>VLOOKUP(Table13[[#This Row],[Code]],'Main Storage'!A:D,3,0)</f>
        <v>515</v>
      </c>
      <c r="D71" s="1">
        <f>VLOOKUP(Table13[[#This Row],[Code]],'Main Storage'!A:E,4,0)</f>
        <v>10</v>
      </c>
      <c r="E71" s="11"/>
      <c r="F71" s="1">
        <f>Table13[[#This Row],[Box]]-Table13[[#This Row],[Order]]</f>
        <v>10</v>
      </c>
    </row>
    <row r="72" spans="1:6" x14ac:dyDescent="0.25">
      <c r="A72" s="1" t="s">
        <v>123</v>
      </c>
      <c r="B72" s="1" t="s">
        <v>173</v>
      </c>
      <c r="C72" s="1">
        <f>VLOOKUP(Table13[[#This Row],[Code]],'Main Storage'!A:D,3,0)</f>
        <v>928</v>
      </c>
      <c r="D72" s="1">
        <f>VLOOKUP(Table13[[#This Row],[Code]],'Main Storage'!A:E,4,0)</f>
        <v>19</v>
      </c>
      <c r="E72" s="11"/>
      <c r="F72" s="1">
        <f>Table13[[#This Row],[Box]]-Table13[[#This Row],[Order]]</f>
        <v>19</v>
      </c>
    </row>
    <row r="73" spans="1:6" x14ac:dyDescent="0.25">
      <c r="A73" s="1" t="s">
        <v>124</v>
      </c>
      <c r="B73" s="1" t="s">
        <v>174</v>
      </c>
      <c r="C73" s="1">
        <f>VLOOKUP(Table13[[#This Row],[Code]],'Main Storage'!A:D,3,0)</f>
        <v>565</v>
      </c>
      <c r="D73" s="1">
        <f>VLOOKUP(Table13[[#This Row],[Code]],'Main Storage'!A:E,4,0)</f>
        <v>11</v>
      </c>
      <c r="E73" s="11"/>
      <c r="F73" s="1">
        <f>Table13[[#This Row],[Box]]-Table13[[#This Row],[Order]]</f>
        <v>11</v>
      </c>
    </row>
    <row r="74" spans="1:6" x14ac:dyDescent="0.25">
      <c r="A74" s="1" t="s">
        <v>125</v>
      </c>
      <c r="B74" s="1" t="s">
        <v>175</v>
      </c>
      <c r="C74" s="1">
        <f>VLOOKUP(Table13[[#This Row],[Code]],'Main Storage'!A:D,3,0)</f>
        <v>286</v>
      </c>
      <c r="D74" s="1">
        <f>VLOOKUP(Table13[[#This Row],[Code]],'Main Storage'!A:E,4,0)</f>
        <v>5</v>
      </c>
      <c r="E74" s="11"/>
      <c r="F74" s="1">
        <f>Table13[[#This Row],[Box]]-Table13[[#This Row],[Order]]</f>
        <v>5</v>
      </c>
    </row>
    <row r="75" spans="1:6" x14ac:dyDescent="0.25">
      <c r="A75" s="1" t="s">
        <v>126</v>
      </c>
      <c r="B75" s="1" t="s">
        <v>176</v>
      </c>
      <c r="C75" s="1">
        <f>VLOOKUP(Table13[[#This Row],[Code]],'Main Storage'!A:D,3,0)</f>
        <v>931</v>
      </c>
      <c r="D75" s="1">
        <f>VLOOKUP(Table13[[#This Row],[Code]],'Main Storage'!A:E,4,0)</f>
        <v>19</v>
      </c>
      <c r="E75" s="11"/>
      <c r="F75" s="1">
        <f>Table13[[#This Row],[Box]]-Table13[[#This Row],[Order]]</f>
        <v>19</v>
      </c>
    </row>
    <row r="76" spans="1:6" x14ac:dyDescent="0.25">
      <c r="A76" s="1" t="s">
        <v>127</v>
      </c>
      <c r="B76" s="1" t="s">
        <v>177</v>
      </c>
      <c r="C76" s="1">
        <f>VLOOKUP(Table13[[#This Row],[Code]],'Main Storage'!A:D,3,0)</f>
        <v>1045</v>
      </c>
      <c r="D76" s="1">
        <f>VLOOKUP(Table13[[#This Row],[Code]],'Main Storage'!A:E,4,0)</f>
        <v>21</v>
      </c>
      <c r="E76" s="11"/>
      <c r="F76" s="1">
        <f>Table13[[#This Row],[Box]]-Table13[[#This Row],[Order]]</f>
        <v>21</v>
      </c>
    </row>
    <row r="77" spans="1:6" x14ac:dyDescent="0.25">
      <c r="A77" s="1" t="s">
        <v>128</v>
      </c>
      <c r="B77" s="1" t="s">
        <v>178</v>
      </c>
      <c r="C77" s="1">
        <f>VLOOKUP(Table13[[#This Row],[Code]],'Main Storage'!A:D,3,0)</f>
        <v>1180</v>
      </c>
      <c r="D77" s="1">
        <f>VLOOKUP(Table13[[#This Row],[Code]],'Main Storage'!A:E,4,0)</f>
        <v>24</v>
      </c>
      <c r="E77" s="11"/>
      <c r="F77" s="1">
        <f>Table13[[#This Row],[Box]]-Table13[[#This Row],[Order]]</f>
        <v>24</v>
      </c>
    </row>
    <row r="78" spans="1:6" x14ac:dyDescent="0.25">
      <c r="A78" s="1" t="s">
        <v>129</v>
      </c>
      <c r="B78" s="1" t="s">
        <v>179</v>
      </c>
      <c r="C78" s="1">
        <f>VLOOKUP(Table13[[#This Row],[Code]],'Main Storage'!A:D,3,0)</f>
        <v>804</v>
      </c>
      <c r="D78" s="1">
        <f>VLOOKUP(Table13[[#This Row],[Code]],'Main Storage'!A:E,4,0)</f>
        <v>16</v>
      </c>
      <c r="E78" s="11"/>
      <c r="F78" s="1">
        <f>Table13[[#This Row],[Box]]-Table13[[#This Row],[Order]]</f>
        <v>16</v>
      </c>
    </row>
    <row r="79" spans="1:6" x14ac:dyDescent="0.25">
      <c r="A79" s="1" t="s">
        <v>130</v>
      </c>
      <c r="B79" s="1" t="s">
        <v>180</v>
      </c>
      <c r="C79" s="1">
        <f>VLOOKUP(Table13[[#This Row],[Code]],'Main Storage'!A:D,3,0)</f>
        <v>428</v>
      </c>
      <c r="D79" s="1">
        <f>VLOOKUP(Table13[[#This Row],[Code]],'Main Storage'!A:E,4,0)</f>
        <v>8</v>
      </c>
      <c r="E79" s="11"/>
      <c r="F79" s="1">
        <f>Table13[[#This Row],[Box]]-Table13[[#This Row],[Order]]</f>
        <v>8</v>
      </c>
    </row>
    <row r="80" spans="1:6" x14ac:dyDescent="0.25">
      <c r="A80" s="1" t="s">
        <v>131</v>
      </c>
      <c r="B80" s="1" t="s">
        <v>181</v>
      </c>
      <c r="C80" s="1">
        <f>VLOOKUP(Table13[[#This Row],[Code]],'Main Storage'!A:D,3,0)</f>
        <v>657</v>
      </c>
      <c r="D80" s="1">
        <f>VLOOKUP(Table13[[#This Row],[Code]],'Main Storage'!A:E,4,0)</f>
        <v>13</v>
      </c>
      <c r="E80" s="11"/>
      <c r="F80" s="1">
        <f>Table13[[#This Row],[Box]]-Table13[[#This Row],[Order]]</f>
        <v>13</v>
      </c>
    </row>
    <row r="81" spans="1:6" x14ac:dyDescent="0.25">
      <c r="A81" s="1" t="s">
        <v>132</v>
      </c>
      <c r="B81" s="1" t="s">
        <v>182</v>
      </c>
      <c r="C81" s="1">
        <f>VLOOKUP(Table13[[#This Row],[Code]],'Main Storage'!A:D,3,0)</f>
        <v>1289</v>
      </c>
      <c r="D81" s="1">
        <f>VLOOKUP(Table13[[#This Row],[Code]],'Main Storage'!A:E,4,0)</f>
        <v>26</v>
      </c>
      <c r="E81" s="11"/>
      <c r="F81" s="1">
        <f>Table13[[#This Row],[Box]]-Table13[[#This Row],[Order]]</f>
        <v>26</v>
      </c>
    </row>
    <row r="82" spans="1:6" x14ac:dyDescent="0.25">
      <c r="A82" s="1" t="s">
        <v>133</v>
      </c>
      <c r="B82" s="1" t="s">
        <v>183</v>
      </c>
      <c r="C82" s="1">
        <f>VLOOKUP(Table13[[#This Row],[Code]],'Main Storage'!A:D,3,0)</f>
        <v>1227</v>
      </c>
      <c r="D82" s="1">
        <f>VLOOKUP(Table13[[#This Row],[Code]],'Main Storage'!A:E,4,0)</f>
        <v>25</v>
      </c>
      <c r="E82" s="11"/>
      <c r="F82" s="1">
        <f>Table13[[#This Row],[Box]]-Table13[[#This Row],[Order]]</f>
        <v>25</v>
      </c>
    </row>
    <row r="83" spans="1:6" x14ac:dyDescent="0.25">
      <c r="A83" s="1" t="s">
        <v>134</v>
      </c>
      <c r="B83" s="1" t="s">
        <v>184</v>
      </c>
      <c r="C83" s="1">
        <f>VLOOKUP(Table13[[#This Row],[Code]],'Main Storage'!A:D,3,0)</f>
        <v>1376</v>
      </c>
      <c r="D83" s="1">
        <f>VLOOKUP(Table13[[#This Row],[Code]],'Main Storage'!A:E,4,0)</f>
        <v>28</v>
      </c>
      <c r="E83" s="11"/>
      <c r="F83" s="1">
        <f>Table13[[#This Row],[Box]]-Table13[[#This Row],[Order]]</f>
        <v>28</v>
      </c>
    </row>
    <row r="84" spans="1:6" x14ac:dyDescent="0.25">
      <c r="A84" s="1" t="s">
        <v>135</v>
      </c>
      <c r="B84" s="1" t="s">
        <v>185</v>
      </c>
      <c r="C84" s="1">
        <f>VLOOKUP(Table13[[#This Row],[Code]],'Main Storage'!A:D,3,0)</f>
        <v>436</v>
      </c>
      <c r="D84" s="1">
        <f>VLOOKUP(Table13[[#This Row],[Code]],'Main Storage'!A:E,4,0)</f>
        <v>9</v>
      </c>
      <c r="E84" s="11"/>
      <c r="F84" s="1">
        <f>Table13[[#This Row],[Box]]-Table13[[#This Row],[Order]]</f>
        <v>9</v>
      </c>
    </row>
    <row r="85" spans="1:6" x14ac:dyDescent="0.25">
      <c r="A85" s="1" t="s">
        <v>136</v>
      </c>
      <c r="B85" s="1" t="s">
        <v>186</v>
      </c>
      <c r="C85" s="1">
        <f>VLOOKUP(Table13[[#This Row],[Code]],'Main Storage'!A:D,3,0)</f>
        <v>1340</v>
      </c>
      <c r="D85" s="1">
        <f>VLOOKUP(Table13[[#This Row],[Code]],'Main Storage'!A:E,4,0)</f>
        <v>27</v>
      </c>
      <c r="E85" s="11"/>
      <c r="F85" s="1">
        <f>Table13[[#This Row],[Box]]-Table13[[#This Row],[Order]]</f>
        <v>27</v>
      </c>
    </row>
    <row r="86" spans="1:6" x14ac:dyDescent="0.25">
      <c r="A86" s="1" t="s">
        <v>137</v>
      </c>
      <c r="B86" s="1" t="s">
        <v>187</v>
      </c>
      <c r="C86" s="1">
        <f>VLOOKUP(Table13[[#This Row],[Code]],'Main Storage'!A:D,3,0)</f>
        <v>1218</v>
      </c>
      <c r="D86" s="1">
        <f>VLOOKUP(Table13[[#This Row],[Code]],'Main Storage'!A:E,4,0)</f>
        <v>25</v>
      </c>
      <c r="E86" s="11"/>
      <c r="F86" s="1">
        <f>Table13[[#This Row],[Box]]-Table13[[#This Row],[Order]]</f>
        <v>25</v>
      </c>
    </row>
    <row r="87" spans="1:6" x14ac:dyDescent="0.25">
      <c r="A87" s="1" t="s">
        <v>138</v>
      </c>
      <c r="B87" s="1" t="s">
        <v>188</v>
      </c>
      <c r="C87" s="1">
        <f>VLOOKUP(Table13[[#This Row],[Code]],'Main Storage'!A:D,3,0)</f>
        <v>848</v>
      </c>
      <c r="D87" s="1">
        <f>VLOOKUP(Table13[[#This Row],[Code]],'Main Storage'!A:E,4,0)</f>
        <v>17</v>
      </c>
      <c r="E87" s="11"/>
      <c r="F87" s="1">
        <f>Table13[[#This Row],[Box]]-Table13[[#This Row],[Order]]</f>
        <v>17</v>
      </c>
    </row>
    <row r="88" spans="1:6" x14ac:dyDescent="0.25">
      <c r="A88" s="1" t="s">
        <v>139</v>
      </c>
      <c r="B88" s="1" t="s">
        <v>189</v>
      </c>
      <c r="C88" s="1">
        <f>VLOOKUP(Table13[[#This Row],[Code]],'Main Storage'!A:D,3,0)</f>
        <v>1490</v>
      </c>
      <c r="D88" s="1">
        <f>VLOOKUP(Table13[[#This Row],[Code]],'Main Storage'!A:E,4,0)</f>
        <v>31</v>
      </c>
      <c r="E88" s="11"/>
      <c r="F88" s="1">
        <f>Table13[[#This Row],[Box]]-Table13[[#This Row],[Order]]</f>
        <v>31</v>
      </c>
    </row>
    <row r="89" spans="1:6" x14ac:dyDescent="0.25">
      <c r="A89" s="1" t="s">
        <v>140</v>
      </c>
      <c r="B89" s="1" t="s">
        <v>190</v>
      </c>
      <c r="C89" s="1">
        <f>VLOOKUP(Table13[[#This Row],[Code]],'Main Storage'!A:D,3,0)</f>
        <v>1162</v>
      </c>
      <c r="D89" s="1">
        <f>VLOOKUP(Table13[[#This Row],[Code]],'Main Storage'!A:E,4,0)</f>
        <v>24</v>
      </c>
      <c r="E89" s="11"/>
      <c r="F89" s="1">
        <f>Table13[[#This Row],[Box]]-Table13[[#This Row],[Order]]</f>
        <v>24</v>
      </c>
    </row>
    <row r="90" spans="1:6" x14ac:dyDescent="0.25">
      <c r="A90" s="1" t="s">
        <v>141</v>
      </c>
      <c r="B90" s="1" t="s">
        <v>191</v>
      </c>
      <c r="C90" s="1">
        <f>VLOOKUP(Table13[[#This Row],[Code]],'Main Storage'!A:D,3,0)</f>
        <v>431</v>
      </c>
      <c r="D90" s="1">
        <f>VLOOKUP(Table13[[#This Row],[Code]],'Main Storage'!A:E,4,0)</f>
        <v>8</v>
      </c>
      <c r="E90" s="11"/>
      <c r="F90" s="1">
        <f>Table13[[#This Row],[Box]]-Table13[[#This Row],[Order]]</f>
        <v>8</v>
      </c>
    </row>
    <row r="91" spans="1:6" x14ac:dyDescent="0.25">
      <c r="A91" s="1" t="s">
        <v>142</v>
      </c>
      <c r="B91" s="1" t="s">
        <v>192</v>
      </c>
      <c r="C91" s="1">
        <f>VLOOKUP(Table13[[#This Row],[Code]],'Main Storage'!A:D,3,0)</f>
        <v>496</v>
      </c>
      <c r="D91" s="1">
        <f>VLOOKUP(Table13[[#This Row],[Code]],'Main Storage'!A:E,4,0)</f>
        <v>10</v>
      </c>
      <c r="E91" s="11"/>
      <c r="F91" s="1">
        <f>Table13[[#This Row],[Box]]-Table13[[#This Row],[Order]]</f>
        <v>10</v>
      </c>
    </row>
    <row r="92" spans="1:6" x14ac:dyDescent="0.25">
      <c r="A92" s="1" t="s">
        <v>143</v>
      </c>
      <c r="B92" s="1" t="s">
        <v>193</v>
      </c>
      <c r="C92" s="1">
        <f>VLOOKUP(Table13[[#This Row],[Code]],'Main Storage'!A:D,3,0)</f>
        <v>1340</v>
      </c>
      <c r="D92" s="1">
        <f>VLOOKUP(Table13[[#This Row],[Code]],'Main Storage'!A:E,4,0)</f>
        <v>27</v>
      </c>
      <c r="E92" s="11"/>
      <c r="F92" s="1">
        <f>Table13[[#This Row],[Box]]-Table13[[#This Row],[Order]]</f>
        <v>27</v>
      </c>
    </row>
    <row r="93" spans="1:6" x14ac:dyDescent="0.25">
      <c r="A93" s="1" t="s">
        <v>144</v>
      </c>
      <c r="B93" s="1" t="s">
        <v>194</v>
      </c>
      <c r="C93" s="1">
        <f>VLOOKUP(Table13[[#This Row],[Code]],'Main Storage'!A:D,3,0)</f>
        <v>175</v>
      </c>
      <c r="D93" s="1">
        <f>VLOOKUP(Table13[[#This Row],[Code]],'Main Storage'!A:E,4,0)</f>
        <v>3</v>
      </c>
      <c r="E93" s="11"/>
      <c r="F93" s="1">
        <f>Table13[[#This Row],[Box]]-Table13[[#This Row],[Order]]</f>
        <v>3</v>
      </c>
    </row>
    <row r="94" spans="1:6" x14ac:dyDescent="0.25">
      <c r="A94" s="1" t="s">
        <v>145</v>
      </c>
      <c r="B94" s="1" t="s">
        <v>195</v>
      </c>
      <c r="C94" s="1">
        <f>VLOOKUP(Table13[[#This Row],[Code]],'Main Storage'!A:D,3,0)</f>
        <v>1164</v>
      </c>
      <c r="D94" s="1">
        <f>VLOOKUP(Table13[[#This Row],[Code]],'Main Storage'!A:E,4,0)</f>
        <v>24</v>
      </c>
      <c r="E94" s="11"/>
      <c r="F94" s="1">
        <f>Table13[[#This Row],[Box]]-Table13[[#This Row],[Order]]</f>
        <v>24</v>
      </c>
    </row>
    <row r="95" spans="1:6" x14ac:dyDescent="0.25">
      <c r="A95" s="1" t="s">
        <v>146</v>
      </c>
      <c r="B95" s="1" t="s">
        <v>196</v>
      </c>
      <c r="C95" s="1">
        <f>VLOOKUP(Table13[[#This Row],[Code]],'Main Storage'!A:D,3,0)</f>
        <v>610</v>
      </c>
      <c r="D95" s="1">
        <f>VLOOKUP(Table13[[#This Row],[Code]],'Main Storage'!A:E,4,0)</f>
        <v>12</v>
      </c>
      <c r="E95" s="11"/>
      <c r="F95" s="1">
        <f>Table13[[#This Row],[Box]]-Table13[[#This Row],[Order]]</f>
        <v>12</v>
      </c>
    </row>
    <row r="96" spans="1:6" x14ac:dyDescent="0.25">
      <c r="A96" s="1" t="s">
        <v>147</v>
      </c>
      <c r="B96" s="1" t="s">
        <v>197</v>
      </c>
      <c r="C96" s="1">
        <f>VLOOKUP(Table13[[#This Row],[Code]],'Main Storage'!A:D,3,0)</f>
        <v>26</v>
      </c>
      <c r="D96" s="1">
        <f>VLOOKUP(Table13[[#This Row],[Code]],'Main Storage'!A:E,4,0)</f>
        <v>0</v>
      </c>
      <c r="E96" s="11"/>
      <c r="F96" s="1">
        <f>Table13[[#This Row],[Box]]-Table13[[#This Row],[Order]]</f>
        <v>0</v>
      </c>
    </row>
    <row r="97" spans="1:6" x14ac:dyDescent="0.25">
      <c r="A97" s="1" t="s">
        <v>148</v>
      </c>
      <c r="B97" s="1" t="s">
        <v>198</v>
      </c>
      <c r="C97" s="1">
        <f>VLOOKUP(Table13[[#This Row],[Code]],'Main Storage'!A:D,3,0)</f>
        <v>122</v>
      </c>
      <c r="D97" s="1">
        <f>VLOOKUP(Table13[[#This Row],[Code]],'Main Storage'!A:E,4,0)</f>
        <v>2</v>
      </c>
      <c r="E97" s="11"/>
      <c r="F97" s="1">
        <f>Table13[[#This Row],[Box]]-Table13[[#This Row],[Order]]</f>
        <v>2</v>
      </c>
    </row>
    <row r="98" spans="1:6" x14ac:dyDescent="0.25">
      <c r="A98" s="1" t="s">
        <v>149</v>
      </c>
      <c r="B98" s="1" t="s">
        <v>199</v>
      </c>
      <c r="C98" s="1">
        <f>VLOOKUP(Table13[[#This Row],[Code]],'Main Storage'!A:D,3,0)</f>
        <v>154</v>
      </c>
      <c r="D98" s="1">
        <f>VLOOKUP(Table13[[#This Row],[Code]],'Main Storage'!A:E,4,0)</f>
        <v>3</v>
      </c>
      <c r="E98" s="11"/>
      <c r="F98" s="1">
        <f>Table13[[#This Row],[Box]]-Table13[[#This Row],[Order]]</f>
        <v>3</v>
      </c>
    </row>
    <row r="99" spans="1:6" x14ac:dyDescent="0.25">
      <c r="A99" s="1" t="s">
        <v>150</v>
      </c>
      <c r="B99" s="1" t="s">
        <v>200</v>
      </c>
      <c r="C99" s="1">
        <f>VLOOKUP(Table13[[#This Row],[Code]],'Main Storage'!A:D,3,0)</f>
        <v>1050</v>
      </c>
      <c r="D99" s="1">
        <f>VLOOKUP(Table13[[#This Row],[Code]],'Main Storage'!A:E,4,0)</f>
        <v>21</v>
      </c>
      <c r="E99" s="11"/>
      <c r="F99" s="1">
        <f>Table13[[#This Row],[Box]]-Table13[[#This Row],[Order]]</f>
        <v>21</v>
      </c>
    </row>
    <row r="100" spans="1:6" x14ac:dyDescent="0.25">
      <c r="A100" s="1" t="s">
        <v>151</v>
      </c>
      <c r="B100" s="1" t="s">
        <v>201</v>
      </c>
      <c r="C100" s="1">
        <f>VLOOKUP(Table13[[#This Row],[Code]],'Main Storage'!A:D,3,0)</f>
        <v>1337</v>
      </c>
      <c r="D100" s="1">
        <f>VLOOKUP(Table13[[#This Row],[Code]],'Main Storage'!A:E,4,0)</f>
        <v>27</v>
      </c>
      <c r="E100" s="11"/>
      <c r="F100" s="1">
        <f>Table13[[#This Row],[Box]]-Table13[[#This Row],[Order]]</f>
        <v>27</v>
      </c>
    </row>
    <row r="101" spans="1:6" x14ac:dyDescent="0.25">
      <c r="A101" s="1" t="s">
        <v>204</v>
      </c>
      <c r="B101" s="1" t="s">
        <v>205</v>
      </c>
      <c r="C101" s="1">
        <f>VLOOKUP(Table13[[#This Row],[Code]],'Main Storage'!A:D,3,0)</f>
        <v>330</v>
      </c>
      <c r="D101" s="1">
        <f>VLOOKUP(Table13[[#This Row],[Code]],'Main Storage'!A:E,4,0)</f>
        <v>2</v>
      </c>
      <c r="E101" s="11"/>
      <c r="F101" s="1">
        <f>Table13[[#This Row],[Box]]-Table13[[#This Row],[Order]]</f>
        <v>2</v>
      </c>
    </row>
    <row r="102" spans="1:6" x14ac:dyDescent="0.25">
      <c r="A102" s="1" t="s">
        <v>206</v>
      </c>
      <c r="B102" s="1" t="s">
        <v>207</v>
      </c>
      <c r="C102" s="1">
        <f>VLOOKUP(Table13[[#This Row],[Code]],'Main Storage'!A:D,3,0)</f>
        <v>737</v>
      </c>
      <c r="D102" s="1">
        <f>VLOOKUP(Table13[[#This Row],[Code]],'Main Storage'!A:E,4,0)</f>
        <v>6</v>
      </c>
      <c r="E102" s="11"/>
      <c r="F102" s="1">
        <f>Table13[[#This Row],[Box]]-Table13[[#This Row],[Order]]</f>
        <v>6</v>
      </c>
    </row>
    <row r="103" spans="1:6" x14ac:dyDescent="0.25">
      <c r="A103" s="1" t="s">
        <v>208</v>
      </c>
      <c r="B103" s="1" t="s">
        <v>209</v>
      </c>
      <c r="C103" s="1">
        <f>VLOOKUP(Table13[[#This Row],[Code]],'Main Storage'!A:D,3,0)</f>
        <v>811</v>
      </c>
      <c r="D103" s="1">
        <f>VLOOKUP(Table13[[#This Row],[Code]],'Main Storage'!A:E,4,0)</f>
        <v>6</v>
      </c>
      <c r="E103" s="11"/>
      <c r="F103" s="1">
        <f>Table13[[#This Row],[Box]]-Table13[[#This Row],[Order]]</f>
        <v>6</v>
      </c>
    </row>
    <row r="104" spans="1:6" x14ac:dyDescent="0.25">
      <c r="A104" s="1" t="s">
        <v>210</v>
      </c>
      <c r="B104" s="1" t="s">
        <v>211</v>
      </c>
      <c r="C104" s="1">
        <f>VLOOKUP(Table13[[#This Row],[Code]],'Main Storage'!A:D,3,0)</f>
        <v>533</v>
      </c>
      <c r="D104" s="1">
        <f>VLOOKUP(Table13[[#This Row],[Code]],'Main Storage'!A:E,4,0)</f>
        <v>4</v>
      </c>
      <c r="E104" s="11"/>
      <c r="F104" s="1">
        <f>Table13[[#This Row],[Box]]-Table13[[#This Row],[Order]]</f>
        <v>4</v>
      </c>
    </row>
    <row r="105" spans="1:6" x14ac:dyDescent="0.25">
      <c r="A105" s="1" t="s">
        <v>212</v>
      </c>
      <c r="B105" s="1" t="s">
        <v>213</v>
      </c>
      <c r="C105" s="1">
        <f>VLOOKUP(Table13[[#This Row],[Code]],'Main Storage'!A:D,3,0)</f>
        <v>1484</v>
      </c>
      <c r="D105" s="1">
        <f>VLOOKUP(Table13[[#This Row],[Code]],'Main Storage'!A:E,4,0)</f>
        <v>12</v>
      </c>
      <c r="E105" s="11"/>
      <c r="F105" s="1">
        <f>Table13[[#This Row],[Box]]-Table13[[#This Row],[Order]]</f>
        <v>12</v>
      </c>
    </row>
    <row r="106" spans="1:6" x14ac:dyDescent="0.25">
      <c r="A106" s="1" t="s">
        <v>214</v>
      </c>
      <c r="B106" s="1" t="s">
        <v>215</v>
      </c>
      <c r="C106" s="1">
        <f>VLOOKUP(Table13[[#This Row],[Code]],'Main Storage'!A:D,3,0)</f>
        <v>521</v>
      </c>
      <c r="D106" s="1">
        <f>VLOOKUP(Table13[[#This Row],[Code]],'Main Storage'!A:E,4,0)</f>
        <v>4</v>
      </c>
      <c r="E106" s="11"/>
      <c r="F106" s="1">
        <f>Table13[[#This Row],[Box]]-Table13[[#This Row],[Order]]</f>
        <v>4</v>
      </c>
    </row>
    <row r="107" spans="1:6" x14ac:dyDescent="0.25">
      <c r="A107" s="1" t="s">
        <v>216</v>
      </c>
      <c r="B107" s="1" t="s">
        <v>217</v>
      </c>
      <c r="C107" s="1">
        <f>VLOOKUP(Table13[[#This Row],[Code]],'Main Storage'!A:D,3,0)</f>
        <v>240</v>
      </c>
      <c r="D107" s="1">
        <f>VLOOKUP(Table13[[#This Row],[Code]],'Main Storage'!A:E,4,0)</f>
        <v>2</v>
      </c>
      <c r="E107" s="11"/>
      <c r="F107" s="1">
        <f>Table13[[#This Row],[Box]]-Table13[[#This Row],[Order]]</f>
        <v>2</v>
      </c>
    </row>
    <row r="108" spans="1:6" x14ac:dyDescent="0.25">
      <c r="A108" s="1" t="s">
        <v>218</v>
      </c>
      <c r="B108" s="1" t="s">
        <v>219</v>
      </c>
      <c r="C108" s="1">
        <f>VLOOKUP(Table13[[#This Row],[Code]],'Main Storage'!A:D,3,0)</f>
        <v>946</v>
      </c>
      <c r="D108" s="1">
        <f>VLOOKUP(Table13[[#This Row],[Code]],'Main Storage'!A:E,4,0)</f>
        <v>7</v>
      </c>
      <c r="E108" s="11"/>
      <c r="F108" s="1">
        <f>Table13[[#This Row],[Box]]-Table13[[#This Row],[Order]]</f>
        <v>7</v>
      </c>
    </row>
    <row r="109" spans="1:6" x14ac:dyDescent="0.25">
      <c r="A109" s="1" t="s">
        <v>220</v>
      </c>
      <c r="B109" s="1" t="s">
        <v>221</v>
      </c>
      <c r="C109" s="1">
        <f>VLOOKUP(Table13[[#This Row],[Code]],'Main Storage'!A:D,3,0)</f>
        <v>1447</v>
      </c>
      <c r="D109" s="1">
        <f>VLOOKUP(Table13[[#This Row],[Code]],'Main Storage'!A:E,4,0)</f>
        <v>12</v>
      </c>
      <c r="E109" s="11"/>
      <c r="F109" s="1">
        <f>Table13[[#This Row],[Box]]-Table13[[#This Row],[Order]]</f>
        <v>12</v>
      </c>
    </row>
    <row r="110" spans="1:6" x14ac:dyDescent="0.25">
      <c r="A110" s="1" t="s">
        <v>222</v>
      </c>
      <c r="B110" s="1" t="s">
        <v>223</v>
      </c>
      <c r="C110" s="1">
        <f>VLOOKUP(Table13[[#This Row],[Code]],'Main Storage'!A:D,3,0)</f>
        <v>489</v>
      </c>
      <c r="D110" s="1">
        <f>VLOOKUP(Table13[[#This Row],[Code]],'Main Storage'!A:E,4,0)</f>
        <v>4</v>
      </c>
      <c r="E110" s="11"/>
      <c r="F110" s="1">
        <f>Table13[[#This Row],[Box]]-Table13[[#This Row],[Order]]</f>
        <v>4</v>
      </c>
    </row>
    <row r="111" spans="1:6" x14ac:dyDescent="0.25">
      <c r="A111" s="1" t="s">
        <v>224</v>
      </c>
      <c r="B111" s="1" t="s">
        <v>225</v>
      </c>
      <c r="C111" s="1">
        <f>VLOOKUP(Table13[[#This Row],[Code]],'Main Storage'!A:D,3,0)</f>
        <v>641</v>
      </c>
      <c r="D111" s="1">
        <f>VLOOKUP(Table13[[#This Row],[Code]],'Main Storage'!A:E,4,0)</f>
        <v>5</v>
      </c>
      <c r="E111" s="11"/>
      <c r="F111" s="1">
        <f>Table13[[#This Row],[Box]]-Table13[[#This Row],[Order]]</f>
        <v>5</v>
      </c>
    </row>
    <row r="112" spans="1:6" x14ac:dyDescent="0.25">
      <c r="A112" s="1" t="s">
        <v>226</v>
      </c>
      <c r="B112" s="1" t="s">
        <v>227</v>
      </c>
      <c r="C112" s="1">
        <f>VLOOKUP(Table13[[#This Row],[Code]],'Main Storage'!A:D,3,0)</f>
        <v>790</v>
      </c>
      <c r="D112" s="1">
        <f>VLOOKUP(Table13[[#This Row],[Code]],'Main Storage'!A:E,4,0)</f>
        <v>6</v>
      </c>
      <c r="E112" s="11"/>
      <c r="F112" s="1">
        <f>Table13[[#This Row],[Box]]-Table13[[#This Row],[Order]]</f>
        <v>6</v>
      </c>
    </row>
    <row r="113" spans="1:6" x14ac:dyDescent="0.25">
      <c r="A113" s="1" t="s">
        <v>228</v>
      </c>
      <c r="B113" s="1" t="s">
        <v>229</v>
      </c>
      <c r="C113" s="1">
        <f>VLOOKUP(Table13[[#This Row],[Code]],'Main Storage'!A:D,3,0)</f>
        <v>1153</v>
      </c>
      <c r="D113" s="1">
        <f>VLOOKUP(Table13[[#This Row],[Code]],'Main Storage'!A:E,4,0)</f>
        <v>9</v>
      </c>
      <c r="E113" s="11"/>
      <c r="F113" s="1">
        <f>Table13[[#This Row],[Box]]-Table13[[#This Row],[Order]]</f>
        <v>9</v>
      </c>
    </row>
    <row r="114" spans="1:6" x14ac:dyDescent="0.25">
      <c r="A114" s="1" t="s">
        <v>230</v>
      </c>
      <c r="B114" s="1" t="s">
        <v>231</v>
      </c>
      <c r="C114" s="1">
        <f>VLOOKUP(Table13[[#This Row],[Code]],'Main Storage'!A:D,3,0)</f>
        <v>983</v>
      </c>
      <c r="D114" s="1">
        <f>VLOOKUP(Table13[[#This Row],[Code]],'Main Storage'!A:E,4,0)</f>
        <v>8</v>
      </c>
      <c r="E114" s="11"/>
      <c r="F114" s="1">
        <f>Table13[[#This Row],[Box]]-Table13[[#This Row],[Order]]</f>
        <v>8</v>
      </c>
    </row>
    <row r="115" spans="1:6" x14ac:dyDescent="0.25">
      <c r="A115" s="1" t="s">
        <v>232</v>
      </c>
      <c r="B115" s="1" t="s">
        <v>233</v>
      </c>
      <c r="C115" s="1">
        <f>VLOOKUP(Table13[[#This Row],[Code]],'Main Storage'!A:D,3,0)</f>
        <v>853</v>
      </c>
      <c r="D115" s="1">
        <f>VLOOKUP(Table13[[#This Row],[Code]],'Main Storage'!A:E,4,0)</f>
        <v>7</v>
      </c>
      <c r="E115" s="11"/>
      <c r="F115" s="1">
        <f>Table13[[#This Row],[Box]]-Table13[[#This Row],[Order]]</f>
        <v>7</v>
      </c>
    </row>
    <row r="116" spans="1:6" x14ac:dyDescent="0.25">
      <c r="A116" s="1" t="s">
        <v>234</v>
      </c>
      <c r="B116" s="1" t="s">
        <v>235</v>
      </c>
      <c r="C116" s="1">
        <f>VLOOKUP(Table13[[#This Row],[Code]],'Main Storage'!A:D,3,0)</f>
        <v>356</v>
      </c>
      <c r="D116" s="1">
        <f>VLOOKUP(Table13[[#This Row],[Code]],'Main Storage'!A:E,4,0)</f>
        <v>2</v>
      </c>
      <c r="E116" s="11"/>
      <c r="F116" s="1">
        <f>Table13[[#This Row],[Box]]-Table13[[#This Row],[Order]]</f>
        <v>2</v>
      </c>
    </row>
    <row r="117" spans="1:6" x14ac:dyDescent="0.25">
      <c r="A117" s="1" t="s">
        <v>236</v>
      </c>
      <c r="B117" s="1" t="s">
        <v>237</v>
      </c>
      <c r="C117" s="1">
        <f>VLOOKUP(Table13[[#This Row],[Code]],'Main Storage'!A:D,3,0)</f>
        <v>556</v>
      </c>
      <c r="D117" s="1">
        <f>VLOOKUP(Table13[[#This Row],[Code]],'Main Storage'!A:E,4,0)</f>
        <v>4</v>
      </c>
      <c r="E117" s="11"/>
      <c r="F117" s="1">
        <f>Table13[[#This Row],[Box]]-Table13[[#This Row],[Order]]</f>
        <v>4</v>
      </c>
    </row>
    <row r="118" spans="1:6" x14ac:dyDescent="0.25">
      <c r="A118" s="1" t="s">
        <v>238</v>
      </c>
      <c r="B118" s="1" t="s">
        <v>239</v>
      </c>
      <c r="C118" s="1">
        <f>VLOOKUP(Table13[[#This Row],[Code]],'Main Storage'!A:D,3,0)</f>
        <v>768</v>
      </c>
      <c r="D118" s="1">
        <f>VLOOKUP(Table13[[#This Row],[Code]],'Main Storage'!A:E,4,0)</f>
        <v>6</v>
      </c>
      <c r="E118" s="11"/>
      <c r="F118" s="1">
        <f>Table13[[#This Row],[Box]]-Table13[[#This Row],[Order]]</f>
        <v>6</v>
      </c>
    </row>
    <row r="119" spans="1:6" x14ac:dyDescent="0.25">
      <c r="A119" s="1" t="s">
        <v>240</v>
      </c>
      <c r="B119" s="1" t="s">
        <v>241</v>
      </c>
      <c r="C119" s="1">
        <f>VLOOKUP(Table13[[#This Row],[Code]],'Main Storage'!A:D,3,0)</f>
        <v>582</v>
      </c>
      <c r="D119" s="1">
        <f>VLOOKUP(Table13[[#This Row],[Code]],'Main Storage'!A:E,4,0)</f>
        <v>4</v>
      </c>
      <c r="E119" s="11"/>
      <c r="F119" s="1">
        <f>Table13[[#This Row],[Box]]-Table13[[#This Row],[Order]]</f>
        <v>4</v>
      </c>
    </row>
    <row r="120" spans="1:6" x14ac:dyDescent="0.25">
      <c r="A120" s="1" t="s">
        <v>242</v>
      </c>
      <c r="B120" s="1" t="s">
        <v>243</v>
      </c>
      <c r="C120" s="1">
        <f>VLOOKUP(Table13[[#This Row],[Code]],'Main Storage'!A:D,3,0)</f>
        <v>467</v>
      </c>
      <c r="D120" s="1">
        <f>VLOOKUP(Table13[[#This Row],[Code]],'Main Storage'!A:E,4,0)</f>
        <v>3</v>
      </c>
      <c r="E120" s="11"/>
      <c r="F120" s="1">
        <f>Table13[[#This Row],[Box]]-Table13[[#This Row],[Order]]</f>
        <v>3</v>
      </c>
    </row>
    <row r="121" spans="1:6" x14ac:dyDescent="0.25">
      <c r="A121" s="1" t="s">
        <v>244</v>
      </c>
      <c r="B121" s="1" t="s">
        <v>245</v>
      </c>
      <c r="C121" s="1">
        <f>VLOOKUP(Table13[[#This Row],[Code]],'Main Storage'!A:D,3,0)</f>
        <v>47</v>
      </c>
      <c r="D121" s="1">
        <f>VLOOKUP(Table13[[#This Row],[Code]],'Main Storage'!A:E,4,0)</f>
        <v>0</v>
      </c>
      <c r="E121" s="11"/>
      <c r="F121" s="1">
        <f>Table13[[#This Row],[Box]]-Table13[[#This Row],[Order]]</f>
        <v>0</v>
      </c>
    </row>
    <row r="122" spans="1:6" x14ac:dyDescent="0.25">
      <c r="A122" s="1" t="s">
        <v>246</v>
      </c>
      <c r="B122" s="1" t="s">
        <v>247</v>
      </c>
      <c r="C122" s="1">
        <f>VLOOKUP(Table13[[#This Row],[Code]],'Main Storage'!A:D,3,0)</f>
        <v>463</v>
      </c>
      <c r="D122" s="1">
        <f>VLOOKUP(Table13[[#This Row],[Code]],'Main Storage'!A:E,4,0)</f>
        <v>3</v>
      </c>
      <c r="E122" s="11"/>
      <c r="F122" s="1">
        <f>Table13[[#This Row],[Box]]-Table13[[#This Row],[Order]]</f>
        <v>3</v>
      </c>
    </row>
    <row r="123" spans="1:6" x14ac:dyDescent="0.25">
      <c r="A123" s="1" t="s">
        <v>248</v>
      </c>
      <c r="B123" s="1" t="s">
        <v>249</v>
      </c>
      <c r="C123" s="1">
        <f>VLOOKUP(Table13[[#This Row],[Code]],'Main Storage'!A:D,3,0)</f>
        <v>1434</v>
      </c>
      <c r="D123" s="1">
        <f>VLOOKUP(Table13[[#This Row],[Code]],'Main Storage'!A:E,4,0)</f>
        <v>11</v>
      </c>
      <c r="E123" s="11"/>
      <c r="F123" s="1">
        <f>Table13[[#This Row],[Box]]-Table13[[#This Row],[Order]]</f>
        <v>11</v>
      </c>
    </row>
    <row r="124" spans="1:6" x14ac:dyDescent="0.25">
      <c r="A124" s="1" t="s">
        <v>250</v>
      </c>
      <c r="B124" s="1" t="s">
        <v>251</v>
      </c>
      <c r="C124" s="1">
        <f>VLOOKUP(Table13[[#This Row],[Code]],'Main Storage'!A:D,3,0)</f>
        <v>399</v>
      </c>
      <c r="D124" s="1">
        <f>VLOOKUP(Table13[[#This Row],[Code]],'Main Storage'!A:E,4,0)</f>
        <v>3</v>
      </c>
      <c r="E124" s="11"/>
      <c r="F124" s="1">
        <f>Table13[[#This Row],[Box]]-Table13[[#This Row],[Order]]</f>
        <v>3</v>
      </c>
    </row>
    <row r="125" spans="1:6" x14ac:dyDescent="0.25">
      <c r="A125" s="1" t="s">
        <v>252</v>
      </c>
      <c r="B125" s="1" t="s">
        <v>253</v>
      </c>
      <c r="C125" s="1">
        <f>VLOOKUP(Table13[[#This Row],[Code]],'Main Storage'!A:D,3,0)</f>
        <v>910</v>
      </c>
      <c r="D125" s="1">
        <f>VLOOKUP(Table13[[#This Row],[Code]],'Main Storage'!A:E,4,0)</f>
        <v>7</v>
      </c>
      <c r="E125" s="11"/>
      <c r="F125" s="1">
        <f>Table13[[#This Row],[Box]]-Table13[[#This Row],[Order]]</f>
        <v>7</v>
      </c>
    </row>
    <row r="126" spans="1:6" x14ac:dyDescent="0.25">
      <c r="A126" s="1" t="s">
        <v>254</v>
      </c>
      <c r="B126" s="1" t="s">
        <v>255</v>
      </c>
      <c r="C126" s="1">
        <f>VLOOKUP(Table13[[#This Row],[Code]],'Main Storage'!A:D,3,0)</f>
        <v>710</v>
      </c>
      <c r="D126" s="1">
        <f>VLOOKUP(Table13[[#This Row],[Code]],'Main Storage'!A:E,4,0)</f>
        <v>5</v>
      </c>
      <c r="E126" s="11"/>
      <c r="F126" s="1">
        <f>Table13[[#This Row],[Box]]-Table13[[#This Row],[Order]]</f>
        <v>5</v>
      </c>
    </row>
    <row r="127" spans="1:6" x14ac:dyDescent="0.25">
      <c r="A127" s="1" t="s">
        <v>256</v>
      </c>
      <c r="B127" s="1" t="s">
        <v>257</v>
      </c>
      <c r="C127" s="1">
        <f>VLOOKUP(Table13[[#This Row],[Code]],'Main Storage'!A:D,3,0)</f>
        <v>977</v>
      </c>
      <c r="D127" s="1">
        <f>VLOOKUP(Table13[[#This Row],[Code]],'Main Storage'!A:E,4,0)</f>
        <v>8</v>
      </c>
      <c r="E127" s="11"/>
      <c r="F127" s="1">
        <f>Table13[[#This Row],[Box]]-Table13[[#This Row],[Order]]</f>
        <v>8</v>
      </c>
    </row>
    <row r="128" spans="1:6" x14ac:dyDescent="0.25">
      <c r="A128" s="1" t="s">
        <v>258</v>
      </c>
      <c r="B128" s="1" t="s">
        <v>259</v>
      </c>
      <c r="C128" s="1">
        <f>VLOOKUP(Table13[[#This Row],[Code]],'Main Storage'!A:D,3,0)</f>
        <v>592</v>
      </c>
      <c r="D128" s="1">
        <f>VLOOKUP(Table13[[#This Row],[Code]],'Main Storage'!A:E,4,0)</f>
        <v>4</v>
      </c>
      <c r="E128" s="11"/>
      <c r="F128" s="1">
        <f>Table13[[#This Row],[Box]]-Table13[[#This Row],[Order]]</f>
        <v>4</v>
      </c>
    </row>
    <row r="129" spans="1:6" x14ac:dyDescent="0.25">
      <c r="A129" s="1" t="s">
        <v>260</v>
      </c>
      <c r="B129" s="1" t="s">
        <v>261</v>
      </c>
      <c r="C129" s="1">
        <f>VLOOKUP(Table13[[#This Row],[Code]],'Main Storage'!A:D,3,0)</f>
        <v>576</v>
      </c>
      <c r="D129" s="1">
        <f>VLOOKUP(Table13[[#This Row],[Code]],'Main Storage'!A:E,4,0)</f>
        <v>4</v>
      </c>
      <c r="E129" s="11"/>
      <c r="F129" s="1">
        <f>Table13[[#This Row],[Box]]-Table13[[#This Row],[Order]]</f>
        <v>4</v>
      </c>
    </row>
    <row r="130" spans="1:6" x14ac:dyDescent="0.25">
      <c r="A130" s="1" t="s">
        <v>262</v>
      </c>
      <c r="B130" s="1" t="s">
        <v>263</v>
      </c>
      <c r="C130" s="1">
        <f>VLOOKUP(Table13[[#This Row],[Code]],'Main Storage'!A:D,3,0)</f>
        <v>565</v>
      </c>
      <c r="D130" s="1">
        <f>VLOOKUP(Table13[[#This Row],[Code]],'Main Storage'!A:E,4,0)</f>
        <v>4</v>
      </c>
      <c r="E130" s="11"/>
      <c r="F130" s="1">
        <f>Table13[[#This Row],[Box]]-Table13[[#This Row],[Order]]</f>
        <v>4</v>
      </c>
    </row>
    <row r="131" spans="1:6" x14ac:dyDescent="0.25">
      <c r="A131" s="1" t="s">
        <v>264</v>
      </c>
      <c r="B131" s="1" t="s">
        <v>265</v>
      </c>
      <c r="C131" s="1">
        <f>VLOOKUP(Table13[[#This Row],[Code]],'Main Storage'!A:D,3,0)</f>
        <v>931</v>
      </c>
      <c r="D131" s="1">
        <f>VLOOKUP(Table13[[#This Row],[Code]],'Main Storage'!A:E,4,0)</f>
        <v>7</v>
      </c>
      <c r="E131" s="11"/>
      <c r="F131" s="1">
        <f>Table13[[#This Row],[Box]]-Table13[[#This Row],[Order]]</f>
        <v>7</v>
      </c>
    </row>
    <row r="132" spans="1:6" x14ac:dyDescent="0.25">
      <c r="A132" s="1" t="s">
        <v>266</v>
      </c>
      <c r="B132" s="1" t="s">
        <v>267</v>
      </c>
      <c r="C132" s="1">
        <f>VLOOKUP(Table13[[#This Row],[Code]],'Main Storage'!A:D,3,0)</f>
        <v>791</v>
      </c>
      <c r="D132" s="1">
        <f>VLOOKUP(Table13[[#This Row],[Code]],'Main Storage'!A:E,4,0)</f>
        <v>6</v>
      </c>
      <c r="E132" s="11"/>
      <c r="F132" s="1">
        <f>Table13[[#This Row],[Box]]-Table13[[#This Row],[Order]]</f>
        <v>6</v>
      </c>
    </row>
    <row r="133" spans="1:6" x14ac:dyDescent="0.25">
      <c r="A133" s="1" t="s">
        <v>268</v>
      </c>
      <c r="B133" s="1" t="s">
        <v>269</v>
      </c>
      <c r="C133" s="1">
        <f>VLOOKUP(Table13[[#This Row],[Code]],'Main Storage'!A:D,3,0)</f>
        <v>274</v>
      </c>
      <c r="D133" s="1">
        <f>VLOOKUP(Table13[[#This Row],[Code]],'Main Storage'!A:E,4,0)</f>
        <v>2</v>
      </c>
      <c r="E133" s="11"/>
      <c r="F133" s="1">
        <f>Table13[[#This Row],[Box]]-Table13[[#This Row],[Order]]</f>
        <v>2</v>
      </c>
    </row>
    <row r="134" spans="1:6" x14ac:dyDescent="0.25">
      <c r="A134" s="1" t="s">
        <v>270</v>
      </c>
      <c r="B134" s="1" t="s">
        <v>271</v>
      </c>
      <c r="C134" s="1">
        <f>VLOOKUP(Table13[[#This Row],[Code]],'Main Storage'!A:D,3,0)</f>
        <v>640</v>
      </c>
      <c r="D134" s="1">
        <f>VLOOKUP(Table13[[#This Row],[Code]],'Main Storage'!A:E,4,0)</f>
        <v>5</v>
      </c>
      <c r="E134" s="11"/>
      <c r="F134" s="1">
        <f>Table13[[#This Row],[Box]]-Table13[[#This Row],[Order]]</f>
        <v>5</v>
      </c>
    </row>
    <row r="135" spans="1:6" x14ac:dyDescent="0.25">
      <c r="A135" s="1" t="s">
        <v>272</v>
      </c>
      <c r="B135" s="1" t="s">
        <v>273</v>
      </c>
      <c r="C135" s="1">
        <f>VLOOKUP(Table13[[#This Row],[Code]],'Main Storage'!A:D,3,0)</f>
        <v>1239</v>
      </c>
      <c r="D135" s="1">
        <f>VLOOKUP(Table13[[#This Row],[Code]],'Main Storage'!A:E,4,0)</f>
        <v>10</v>
      </c>
      <c r="E135" s="11"/>
      <c r="F135" s="1">
        <f>Table13[[#This Row],[Box]]-Table13[[#This Row],[Order]]</f>
        <v>10</v>
      </c>
    </row>
    <row r="136" spans="1:6" x14ac:dyDescent="0.25">
      <c r="A136" s="1" t="s">
        <v>274</v>
      </c>
      <c r="B136" s="1" t="s">
        <v>275</v>
      </c>
      <c r="C136" s="1">
        <f>VLOOKUP(Table13[[#This Row],[Code]],'Main Storage'!A:D,3,0)</f>
        <v>359</v>
      </c>
      <c r="D136" s="1">
        <f>VLOOKUP(Table13[[#This Row],[Code]],'Main Storage'!A:E,4,0)</f>
        <v>2</v>
      </c>
      <c r="E136" s="11"/>
      <c r="F136" s="1">
        <f>Table13[[#This Row],[Box]]-Table13[[#This Row],[Order]]</f>
        <v>2</v>
      </c>
    </row>
    <row r="137" spans="1:6" x14ac:dyDescent="0.25">
      <c r="A137" s="1" t="s">
        <v>276</v>
      </c>
      <c r="B137" s="1" t="s">
        <v>277</v>
      </c>
      <c r="C137" s="1">
        <f>VLOOKUP(Table13[[#This Row],[Code]],'Main Storage'!A:D,3,0)</f>
        <v>495</v>
      </c>
      <c r="D137" s="1">
        <f>VLOOKUP(Table13[[#This Row],[Code]],'Main Storage'!A:E,4,0)</f>
        <v>4</v>
      </c>
      <c r="E137" s="11"/>
      <c r="F137" s="1">
        <f>Table13[[#This Row],[Box]]-Table13[[#This Row],[Order]]</f>
        <v>4</v>
      </c>
    </row>
    <row r="138" spans="1:6" x14ac:dyDescent="0.25">
      <c r="A138" s="1" t="s">
        <v>278</v>
      </c>
      <c r="B138" s="1" t="s">
        <v>279</v>
      </c>
      <c r="C138" s="1">
        <f>VLOOKUP(Table13[[#This Row],[Code]],'Main Storage'!A:D,3,0)</f>
        <v>481</v>
      </c>
      <c r="D138" s="1">
        <f>VLOOKUP(Table13[[#This Row],[Code]],'Main Storage'!A:E,4,0)</f>
        <v>4</v>
      </c>
      <c r="E138" s="11"/>
      <c r="F138" s="1">
        <f>Table13[[#This Row],[Box]]-Table13[[#This Row],[Order]]</f>
        <v>4</v>
      </c>
    </row>
    <row r="139" spans="1:6" x14ac:dyDescent="0.25">
      <c r="A139" s="1" t="s">
        <v>280</v>
      </c>
      <c r="B139" s="1" t="s">
        <v>281</v>
      </c>
      <c r="C139" s="1">
        <f>VLOOKUP(Table13[[#This Row],[Code]],'Main Storage'!A:D,3,0)</f>
        <v>872</v>
      </c>
      <c r="D139" s="1">
        <f>VLOOKUP(Table13[[#This Row],[Code]],'Main Storage'!A:E,4,0)</f>
        <v>7</v>
      </c>
      <c r="E139" s="11"/>
      <c r="F139" s="1">
        <f>Table13[[#This Row],[Box]]-Table13[[#This Row],[Order]]</f>
        <v>7</v>
      </c>
    </row>
    <row r="140" spans="1:6" x14ac:dyDescent="0.25">
      <c r="A140" s="1" t="s">
        <v>282</v>
      </c>
      <c r="B140" s="1" t="s">
        <v>283</v>
      </c>
      <c r="C140" s="1">
        <f>VLOOKUP(Table13[[#This Row],[Code]],'Main Storage'!A:D,3,0)</f>
        <v>864</v>
      </c>
      <c r="D140" s="1">
        <f>VLOOKUP(Table13[[#This Row],[Code]],'Main Storage'!A:E,4,0)</f>
        <v>7</v>
      </c>
      <c r="E140" s="11"/>
      <c r="F140" s="1">
        <f>Table13[[#This Row],[Box]]-Table13[[#This Row],[Order]]</f>
        <v>7</v>
      </c>
    </row>
    <row r="141" spans="1:6" x14ac:dyDescent="0.25">
      <c r="A141" s="1" t="s">
        <v>284</v>
      </c>
      <c r="B141" s="1" t="s">
        <v>285</v>
      </c>
      <c r="C141" s="1">
        <f>VLOOKUP(Table13[[#This Row],[Code]],'Main Storage'!A:D,3,0)</f>
        <v>1498</v>
      </c>
      <c r="D141" s="1">
        <f>VLOOKUP(Table13[[#This Row],[Code]],'Main Storage'!A:E,4,0)</f>
        <v>12</v>
      </c>
      <c r="E141" s="11"/>
      <c r="F141" s="1">
        <f>Table13[[#This Row],[Box]]-Table13[[#This Row],[Order]]</f>
        <v>12</v>
      </c>
    </row>
    <row r="142" spans="1:6" x14ac:dyDescent="0.25">
      <c r="A142" s="1" t="s">
        <v>286</v>
      </c>
      <c r="B142" s="1" t="s">
        <v>287</v>
      </c>
      <c r="C142" s="1">
        <f>VLOOKUP(Table13[[#This Row],[Code]],'Main Storage'!A:D,3,0)</f>
        <v>254</v>
      </c>
      <c r="D142" s="1">
        <f>VLOOKUP(Table13[[#This Row],[Code]],'Main Storage'!A:E,4,0)</f>
        <v>2</v>
      </c>
      <c r="E142" s="11"/>
      <c r="F142" s="1">
        <f>Table13[[#This Row],[Box]]-Table13[[#This Row],[Order]]</f>
        <v>2</v>
      </c>
    </row>
    <row r="143" spans="1:6" x14ac:dyDescent="0.25">
      <c r="A143" s="1" t="s">
        <v>288</v>
      </c>
      <c r="B143" s="1" t="s">
        <v>289</v>
      </c>
      <c r="C143" s="1">
        <f>VLOOKUP(Table13[[#This Row],[Code]],'Main Storage'!A:D,3,0)</f>
        <v>145</v>
      </c>
      <c r="D143" s="1">
        <f>VLOOKUP(Table13[[#This Row],[Code]],'Main Storage'!A:E,4,0)</f>
        <v>1</v>
      </c>
      <c r="E143" s="11"/>
      <c r="F143" s="1">
        <f>Table13[[#This Row],[Box]]-Table13[[#This Row],[Order]]</f>
        <v>1</v>
      </c>
    </row>
    <row r="144" spans="1:6" x14ac:dyDescent="0.25">
      <c r="A144" s="1" t="s">
        <v>290</v>
      </c>
      <c r="B144" s="1" t="s">
        <v>291</v>
      </c>
      <c r="C144" s="1">
        <f>VLOOKUP(Table13[[#This Row],[Code]],'Main Storage'!A:D,3,0)</f>
        <v>193</v>
      </c>
      <c r="D144" s="1">
        <f>VLOOKUP(Table13[[#This Row],[Code]],'Main Storage'!A:E,4,0)</f>
        <v>1</v>
      </c>
      <c r="E144" s="11"/>
      <c r="F144" s="1">
        <f>Table13[[#This Row],[Box]]-Table13[[#This Row],[Order]]</f>
        <v>1</v>
      </c>
    </row>
    <row r="145" spans="1:6" x14ac:dyDescent="0.25">
      <c r="A145" s="1" t="s">
        <v>292</v>
      </c>
      <c r="B145" s="1" t="s">
        <v>293</v>
      </c>
      <c r="C145" s="1">
        <f>VLOOKUP(Table13[[#This Row],[Code]],'Main Storage'!A:D,3,0)</f>
        <v>1478</v>
      </c>
      <c r="D145" s="1">
        <f>VLOOKUP(Table13[[#This Row],[Code]],'Main Storage'!A:E,4,0)</f>
        <v>12</v>
      </c>
      <c r="E145" s="11"/>
      <c r="F145" s="1">
        <f>Table13[[#This Row],[Box]]-Table13[[#This Row],[Order]]</f>
        <v>12</v>
      </c>
    </row>
    <row r="146" spans="1:6" x14ac:dyDescent="0.25">
      <c r="A146" s="1" t="s">
        <v>294</v>
      </c>
      <c r="B146" s="1" t="s">
        <v>295</v>
      </c>
      <c r="C146" s="1">
        <f>VLOOKUP(Table13[[#This Row],[Code]],'Main Storage'!A:D,3,0)</f>
        <v>958</v>
      </c>
      <c r="D146" s="1">
        <f>VLOOKUP(Table13[[#This Row],[Code]],'Main Storage'!A:E,4,0)</f>
        <v>7</v>
      </c>
      <c r="E146" s="11"/>
      <c r="F146" s="1">
        <f>Table13[[#This Row],[Box]]-Table13[[#This Row],[Order]]</f>
        <v>7</v>
      </c>
    </row>
    <row r="147" spans="1:6" x14ac:dyDescent="0.25">
      <c r="A147" s="1" t="s">
        <v>296</v>
      </c>
      <c r="B147" s="1" t="s">
        <v>297</v>
      </c>
      <c r="C147" s="1">
        <f>VLOOKUP(Table13[[#This Row],[Code]],'Main Storage'!A:D,3,0)</f>
        <v>1327</v>
      </c>
      <c r="D147" s="1">
        <f>VLOOKUP(Table13[[#This Row],[Code]],'Main Storage'!A:E,4,0)</f>
        <v>11</v>
      </c>
      <c r="E147" s="11"/>
      <c r="F147" s="1">
        <f>Table13[[#This Row],[Box]]-Table13[[#This Row],[Order]]</f>
        <v>11</v>
      </c>
    </row>
    <row r="148" spans="1:6" x14ac:dyDescent="0.25">
      <c r="A148" s="1" t="s">
        <v>298</v>
      </c>
      <c r="B148" s="1" t="s">
        <v>299</v>
      </c>
      <c r="C148" s="1">
        <f>VLOOKUP(Table13[[#This Row],[Code]],'Main Storage'!A:D,3,0)</f>
        <v>1297</v>
      </c>
      <c r="D148" s="1">
        <f>VLOOKUP(Table13[[#This Row],[Code]],'Main Storage'!A:E,4,0)</f>
        <v>10</v>
      </c>
      <c r="E148" s="11"/>
      <c r="F148" s="1">
        <f>Table13[[#This Row],[Box]]-Table13[[#This Row],[Order]]</f>
        <v>10</v>
      </c>
    </row>
    <row r="149" spans="1:6" x14ac:dyDescent="0.25">
      <c r="A149" s="1" t="s">
        <v>300</v>
      </c>
      <c r="B149" s="1" t="s">
        <v>301</v>
      </c>
      <c r="C149" s="1">
        <f>VLOOKUP(Table13[[#This Row],[Code]],'Main Storage'!A:D,3,0)</f>
        <v>284</v>
      </c>
      <c r="D149" s="1">
        <f>VLOOKUP(Table13[[#This Row],[Code]],'Main Storage'!A:E,4,0)</f>
        <v>2</v>
      </c>
      <c r="E149" s="11"/>
      <c r="F149" s="1">
        <f>Table13[[#This Row],[Box]]-Table13[[#This Row],[Order]]</f>
        <v>2</v>
      </c>
    </row>
    <row r="150" spans="1:6" x14ac:dyDescent="0.25">
      <c r="A150" s="1" t="s">
        <v>302</v>
      </c>
      <c r="B150" s="1" t="s">
        <v>303</v>
      </c>
      <c r="C150" s="1">
        <f>VLOOKUP(Table13[[#This Row],[Code]],'Main Storage'!A:D,3,0)</f>
        <v>177</v>
      </c>
      <c r="D150" s="1">
        <f>VLOOKUP(Table13[[#This Row],[Code]],'Main Storage'!A:E,4,0)</f>
        <v>1</v>
      </c>
      <c r="E150" s="11"/>
      <c r="F150" s="1">
        <f>Table13[[#This Row],[Box]]-Table13[[#This Row],[Order]]</f>
        <v>1</v>
      </c>
    </row>
    <row r="151" spans="1:6" x14ac:dyDescent="0.25">
      <c r="A151" s="1" t="s">
        <v>304</v>
      </c>
      <c r="B151" s="1" t="s">
        <v>305</v>
      </c>
      <c r="C151" s="1">
        <f>VLOOKUP(Table13[[#This Row],[Code]],'Main Storage'!A:D,3,0)</f>
        <v>1288</v>
      </c>
      <c r="D151" s="1">
        <f>VLOOKUP(Table13[[#This Row],[Code]],'Main Storage'!A:E,4,0)</f>
        <v>10</v>
      </c>
      <c r="E151" s="11"/>
      <c r="F151" s="1">
        <f>Table13[[#This Row],[Box]]-Table13[[#This Row],[Order]]</f>
        <v>10</v>
      </c>
    </row>
    <row r="152" spans="1:6" x14ac:dyDescent="0.25">
      <c r="A152" s="1" t="s">
        <v>306</v>
      </c>
      <c r="B152" s="1" t="s">
        <v>307</v>
      </c>
      <c r="C152" s="1">
        <f>VLOOKUP(Table13[[#This Row],[Code]],'Main Storage'!A:D,3,0)</f>
        <v>1050</v>
      </c>
      <c r="D152" s="1">
        <f>VLOOKUP(Table13[[#This Row],[Code]],'Main Storage'!A:E,4,0)</f>
        <v>8</v>
      </c>
      <c r="E152" s="11"/>
      <c r="F152" s="1">
        <f>Table13[[#This Row],[Box]]-Table13[[#This Row],[Order]]</f>
        <v>8</v>
      </c>
    </row>
    <row r="153" spans="1:6" x14ac:dyDescent="0.25">
      <c r="A153" s="1" t="s">
        <v>308</v>
      </c>
      <c r="B153" s="1" t="s">
        <v>309</v>
      </c>
      <c r="C153" s="1">
        <f>VLOOKUP(Table13[[#This Row],[Code]],'Main Storage'!A:D,3,0)</f>
        <v>686</v>
      </c>
      <c r="D153" s="1">
        <f>VLOOKUP(Table13[[#This Row],[Code]],'Main Storage'!A:E,4,0)</f>
        <v>5</v>
      </c>
      <c r="E153" s="11"/>
      <c r="F153" s="1">
        <f>Table13[[#This Row],[Box]]-Table13[[#This Row],[Order]]</f>
        <v>5</v>
      </c>
    </row>
    <row r="154" spans="1:6" x14ac:dyDescent="0.25">
      <c r="A154" s="1" t="s">
        <v>310</v>
      </c>
      <c r="B154" s="1" t="s">
        <v>311</v>
      </c>
      <c r="C154" s="1">
        <f>VLOOKUP(Table13[[#This Row],[Code]],'Main Storage'!A:D,3,0)</f>
        <v>238</v>
      </c>
      <c r="D154" s="1">
        <f>VLOOKUP(Table13[[#This Row],[Code]],'Main Storage'!A:E,4,0)</f>
        <v>1</v>
      </c>
      <c r="E154" s="11"/>
      <c r="F154" s="1">
        <f>Table13[[#This Row],[Box]]-Table13[[#This Row],[Order]]</f>
        <v>1</v>
      </c>
    </row>
    <row r="155" spans="1:6" x14ac:dyDescent="0.25">
      <c r="A155" s="1" t="s">
        <v>312</v>
      </c>
      <c r="B155" s="1" t="s">
        <v>313</v>
      </c>
      <c r="C155" s="1">
        <f>VLOOKUP(Table13[[#This Row],[Code]],'Main Storage'!A:D,3,0)</f>
        <v>1063</v>
      </c>
      <c r="D155" s="1">
        <f>VLOOKUP(Table13[[#This Row],[Code]],'Main Storage'!A:E,4,0)</f>
        <v>8</v>
      </c>
      <c r="E155" s="11"/>
      <c r="F155" s="1">
        <f>Table13[[#This Row],[Box]]-Table13[[#This Row],[Order]]</f>
        <v>8</v>
      </c>
    </row>
    <row r="156" spans="1:6" x14ac:dyDescent="0.25">
      <c r="A156" s="1" t="s">
        <v>314</v>
      </c>
      <c r="B156" s="1" t="s">
        <v>315</v>
      </c>
      <c r="C156" s="1">
        <f>VLOOKUP(Table13[[#This Row],[Code]],'Main Storage'!A:D,3,0)</f>
        <v>508</v>
      </c>
      <c r="D156" s="1">
        <f>VLOOKUP(Table13[[#This Row],[Code]],'Main Storage'!A:E,4,0)</f>
        <v>4</v>
      </c>
      <c r="E156" s="11"/>
      <c r="F156" s="1">
        <f>Table13[[#This Row],[Box]]-Table13[[#This Row],[Order]]</f>
        <v>4</v>
      </c>
    </row>
    <row r="157" spans="1:6" x14ac:dyDescent="0.25">
      <c r="A157" s="1" t="s">
        <v>316</v>
      </c>
      <c r="B157" s="1" t="s">
        <v>317</v>
      </c>
      <c r="C157" s="1">
        <f>VLOOKUP(Table13[[#This Row],[Code]],'Main Storage'!A:D,3,0)</f>
        <v>166</v>
      </c>
      <c r="D157" s="1">
        <f>VLOOKUP(Table13[[#This Row],[Code]],'Main Storage'!A:E,4,0)</f>
        <v>1</v>
      </c>
      <c r="E157" s="11"/>
      <c r="F157" s="1">
        <f>Table13[[#This Row],[Box]]-Table13[[#This Row],[Order]]</f>
        <v>1</v>
      </c>
    </row>
    <row r="158" spans="1:6" x14ac:dyDescent="0.25">
      <c r="A158" s="1" t="s">
        <v>318</v>
      </c>
      <c r="B158" s="1" t="s">
        <v>319</v>
      </c>
      <c r="C158" s="1">
        <f>VLOOKUP(Table13[[#This Row],[Code]],'Main Storage'!A:D,3,0)</f>
        <v>695</v>
      </c>
      <c r="D158" s="1">
        <f>VLOOKUP(Table13[[#This Row],[Code]],'Main Storage'!A:E,4,0)</f>
        <v>5</v>
      </c>
      <c r="E158" s="11"/>
      <c r="F158" s="1">
        <f>Table13[[#This Row],[Box]]-Table13[[#This Row],[Order]]</f>
        <v>5</v>
      </c>
    </row>
    <row r="159" spans="1:6" x14ac:dyDescent="0.25">
      <c r="A159" s="1" t="s">
        <v>320</v>
      </c>
      <c r="B159" s="1" t="s">
        <v>321</v>
      </c>
      <c r="C159" s="1">
        <f>VLOOKUP(Table13[[#This Row],[Code]],'Main Storage'!A:D,3,0)</f>
        <v>1209</v>
      </c>
      <c r="D159" s="1">
        <f>VLOOKUP(Table13[[#This Row],[Code]],'Main Storage'!A:E,4,0)</f>
        <v>10</v>
      </c>
      <c r="E159" s="11"/>
      <c r="F159" s="1">
        <f>Table13[[#This Row],[Box]]-Table13[[#This Row],[Order]]</f>
        <v>10</v>
      </c>
    </row>
    <row r="160" spans="1:6" x14ac:dyDescent="0.25">
      <c r="A160" s="1" t="s">
        <v>322</v>
      </c>
      <c r="B160" s="1" t="s">
        <v>323</v>
      </c>
      <c r="C160" s="1">
        <f>VLOOKUP(Table13[[#This Row],[Code]],'Main Storage'!A:D,3,0)</f>
        <v>458</v>
      </c>
      <c r="D160" s="1">
        <f>VLOOKUP(Table13[[#This Row],[Code]],'Main Storage'!A:E,4,0)</f>
        <v>3</v>
      </c>
      <c r="E160" s="11"/>
      <c r="F160" s="1">
        <f>Table13[[#This Row],[Box]]-Table13[[#This Row],[Order]]</f>
        <v>3</v>
      </c>
    </row>
    <row r="161" spans="1:6" x14ac:dyDescent="0.25">
      <c r="A161" s="1" t="s">
        <v>324</v>
      </c>
      <c r="B161" s="1" t="s">
        <v>325</v>
      </c>
      <c r="C161" s="1">
        <f>VLOOKUP(Table13[[#This Row],[Code]],'Main Storage'!A:D,3,0)</f>
        <v>557</v>
      </c>
      <c r="D161" s="1">
        <f>VLOOKUP(Table13[[#This Row],[Code]],'Main Storage'!A:E,4,0)</f>
        <v>4</v>
      </c>
      <c r="E161" s="11"/>
      <c r="F161" s="1">
        <f>Table13[[#This Row],[Box]]-Table13[[#This Row],[Order]]</f>
        <v>4</v>
      </c>
    </row>
    <row r="162" spans="1:6" x14ac:dyDescent="0.25">
      <c r="A162" s="1" t="s">
        <v>326</v>
      </c>
      <c r="B162" s="1" t="s">
        <v>327</v>
      </c>
      <c r="C162" s="1">
        <f>VLOOKUP(Table13[[#This Row],[Code]],'Main Storage'!A:D,3,0)</f>
        <v>1417</v>
      </c>
      <c r="D162" s="1">
        <f>VLOOKUP(Table13[[#This Row],[Code]],'Main Storage'!A:E,4,0)</f>
        <v>11</v>
      </c>
      <c r="E162" s="11"/>
      <c r="F162" s="1">
        <f>Table13[[#This Row],[Box]]-Table13[[#This Row],[Order]]</f>
        <v>11</v>
      </c>
    </row>
    <row r="163" spans="1:6" x14ac:dyDescent="0.25">
      <c r="A163" s="1" t="s">
        <v>328</v>
      </c>
      <c r="B163" s="1" t="s">
        <v>329</v>
      </c>
      <c r="C163" s="1">
        <f>VLOOKUP(Table13[[#This Row],[Code]],'Main Storage'!A:D,3,0)</f>
        <v>86</v>
      </c>
      <c r="D163" s="1">
        <f>VLOOKUP(Table13[[#This Row],[Code]],'Main Storage'!A:E,4,0)</f>
        <v>0</v>
      </c>
      <c r="E163" s="11"/>
      <c r="F163" s="1">
        <f>Table13[[#This Row],[Box]]-Table13[[#This Row],[Order]]</f>
        <v>0</v>
      </c>
    </row>
    <row r="164" spans="1:6" x14ac:dyDescent="0.25">
      <c r="A164" s="1" t="s">
        <v>330</v>
      </c>
      <c r="B164" s="1" t="s">
        <v>331</v>
      </c>
      <c r="C164" s="1">
        <f>VLOOKUP(Table13[[#This Row],[Code]],'Main Storage'!A:D,3,0)</f>
        <v>531</v>
      </c>
      <c r="D164" s="1">
        <f>VLOOKUP(Table13[[#This Row],[Code]],'Main Storage'!A:E,4,0)</f>
        <v>4</v>
      </c>
      <c r="E164" s="11"/>
      <c r="F164" s="1">
        <f>Table13[[#This Row],[Box]]-Table13[[#This Row],[Order]]</f>
        <v>4</v>
      </c>
    </row>
    <row r="165" spans="1:6" x14ac:dyDescent="0.25">
      <c r="A165" s="1" t="s">
        <v>332</v>
      </c>
      <c r="B165" s="1" t="s">
        <v>333</v>
      </c>
      <c r="C165" s="1">
        <f>VLOOKUP(Table13[[#This Row],[Code]],'Main Storage'!A:D,3,0)</f>
        <v>574</v>
      </c>
      <c r="D165" s="1">
        <f>VLOOKUP(Table13[[#This Row],[Code]],'Main Storage'!A:E,4,0)</f>
        <v>4</v>
      </c>
      <c r="E165" s="11"/>
      <c r="F165" s="1">
        <f>Table13[[#This Row],[Box]]-Table13[[#This Row],[Order]]</f>
        <v>4</v>
      </c>
    </row>
    <row r="166" spans="1:6" x14ac:dyDescent="0.25">
      <c r="A166" s="1" t="s">
        <v>334</v>
      </c>
      <c r="B166" s="1" t="s">
        <v>335</v>
      </c>
      <c r="C166" s="1">
        <f>VLOOKUP(Table13[[#This Row],[Code]],'Main Storage'!A:D,3,0)</f>
        <v>908</v>
      </c>
      <c r="D166" s="1">
        <f>VLOOKUP(Table13[[#This Row],[Code]],'Main Storage'!A:E,4,0)</f>
        <v>7</v>
      </c>
      <c r="E166" s="11"/>
      <c r="F166" s="1">
        <f>Table13[[#This Row],[Box]]-Table13[[#This Row],[Order]]</f>
        <v>7</v>
      </c>
    </row>
    <row r="167" spans="1:6" x14ac:dyDescent="0.25">
      <c r="A167" s="1" t="s">
        <v>336</v>
      </c>
      <c r="B167" s="1" t="s">
        <v>337</v>
      </c>
      <c r="C167" s="1">
        <f>VLOOKUP(Table13[[#This Row],[Code]],'Main Storage'!A:D,3,0)</f>
        <v>546</v>
      </c>
      <c r="D167" s="1">
        <f>VLOOKUP(Table13[[#This Row],[Code]],'Main Storage'!A:E,4,0)</f>
        <v>4</v>
      </c>
      <c r="E167" s="11"/>
      <c r="F167" s="1">
        <f>Table13[[#This Row],[Box]]-Table13[[#This Row],[Order]]</f>
        <v>4</v>
      </c>
    </row>
    <row r="168" spans="1:6" x14ac:dyDescent="0.25">
      <c r="A168" s="1" t="s">
        <v>338</v>
      </c>
      <c r="B168" s="1" t="s">
        <v>339</v>
      </c>
      <c r="C168" s="1">
        <f>VLOOKUP(Table13[[#This Row],[Code]],'Main Storage'!A:D,3,0)</f>
        <v>537</v>
      </c>
      <c r="D168" s="1">
        <f>VLOOKUP(Table13[[#This Row],[Code]],'Main Storage'!A:E,4,0)</f>
        <v>4</v>
      </c>
      <c r="E168" s="11"/>
      <c r="F168" s="1">
        <f>Table13[[#This Row],[Box]]-Table13[[#This Row],[Order]]</f>
        <v>4</v>
      </c>
    </row>
    <row r="169" spans="1:6" x14ac:dyDescent="0.25">
      <c r="A169" s="1" t="s">
        <v>340</v>
      </c>
      <c r="B169" s="1" t="s">
        <v>341</v>
      </c>
      <c r="C169" s="1">
        <f>VLOOKUP(Table13[[#This Row],[Code]],'Main Storage'!A:D,3,0)</f>
        <v>579</v>
      </c>
      <c r="D169" s="1">
        <f>VLOOKUP(Table13[[#This Row],[Code]],'Main Storage'!A:E,4,0)</f>
        <v>4</v>
      </c>
      <c r="E169" s="11"/>
      <c r="F169" s="1">
        <f>Table13[[#This Row],[Box]]-Table13[[#This Row],[Order]]</f>
        <v>4</v>
      </c>
    </row>
    <row r="170" spans="1:6" x14ac:dyDescent="0.25">
      <c r="A170" s="1" t="s">
        <v>342</v>
      </c>
      <c r="B170" s="1" t="s">
        <v>343</v>
      </c>
      <c r="C170" s="1">
        <f>VLOOKUP(Table13[[#This Row],[Code]],'Main Storage'!A:D,3,0)</f>
        <v>975</v>
      </c>
      <c r="D170" s="1">
        <f>VLOOKUP(Table13[[#This Row],[Code]],'Main Storage'!A:E,4,0)</f>
        <v>8</v>
      </c>
      <c r="E170" s="11"/>
      <c r="F170" s="1">
        <f>Table13[[#This Row],[Box]]-Table13[[#This Row],[Order]]</f>
        <v>8</v>
      </c>
    </row>
    <row r="171" spans="1:6" x14ac:dyDescent="0.25">
      <c r="A171" s="1" t="s">
        <v>344</v>
      </c>
      <c r="B171" s="1" t="s">
        <v>345</v>
      </c>
      <c r="C171" s="1">
        <f>VLOOKUP(Table13[[#This Row],[Code]],'Main Storage'!A:D,3,0)</f>
        <v>3</v>
      </c>
      <c r="D171" s="1">
        <f>VLOOKUP(Table13[[#This Row],[Code]],'Main Storage'!A:E,4,0)</f>
        <v>0</v>
      </c>
      <c r="E171" s="11"/>
      <c r="F171" s="1">
        <f>Table13[[#This Row],[Box]]-Table13[[#This Row],[Order]]</f>
        <v>0</v>
      </c>
    </row>
    <row r="172" spans="1:6" x14ac:dyDescent="0.25">
      <c r="A172" s="1" t="s">
        <v>346</v>
      </c>
      <c r="B172" s="1" t="s">
        <v>347</v>
      </c>
      <c r="C172" s="1">
        <f>VLOOKUP(Table13[[#This Row],[Code]],'Main Storage'!A:D,3,0)</f>
        <v>677</v>
      </c>
      <c r="D172" s="1">
        <f>VLOOKUP(Table13[[#This Row],[Code]],'Main Storage'!A:E,4,0)</f>
        <v>5</v>
      </c>
      <c r="E172" s="11"/>
      <c r="F172" s="1">
        <f>Table13[[#This Row],[Box]]-Table13[[#This Row],[Order]]</f>
        <v>5</v>
      </c>
    </row>
    <row r="173" spans="1:6" x14ac:dyDescent="0.25">
      <c r="A173" s="1" t="s">
        <v>348</v>
      </c>
      <c r="B173" s="1" t="s">
        <v>349</v>
      </c>
      <c r="C173" s="1">
        <f>VLOOKUP(Table13[[#This Row],[Code]],'Main Storage'!A:D,3,0)</f>
        <v>1304</v>
      </c>
      <c r="D173" s="1">
        <f>VLOOKUP(Table13[[#This Row],[Code]],'Main Storage'!A:E,4,0)</f>
        <v>10</v>
      </c>
      <c r="E173" s="11"/>
      <c r="F173" s="1">
        <f>Table13[[#This Row],[Box]]-Table13[[#This Row],[Order]]</f>
        <v>10</v>
      </c>
    </row>
    <row r="174" spans="1:6" x14ac:dyDescent="0.25">
      <c r="A174" s="1" t="s">
        <v>350</v>
      </c>
      <c r="B174" s="1" t="s">
        <v>351</v>
      </c>
      <c r="C174" s="1">
        <f>VLOOKUP(Table13[[#This Row],[Code]],'Main Storage'!A:D,3,0)</f>
        <v>929</v>
      </c>
      <c r="D174" s="1">
        <f>VLOOKUP(Table13[[#This Row],[Code]],'Main Storage'!A:E,4,0)</f>
        <v>7</v>
      </c>
      <c r="E174" s="11"/>
      <c r="F174" s="1">
        <f>Table13[[#This Row],[Box]]-Table13[[#This Row],[Order]]</f>
        <v>7</v>
      </c>
    </row>
    <row r="175" spans="1:6" x14ac:dyDescent="0.25">
      <c r="A175" s="1" t="s">
        <v>352</v>
      </c>
      <c r="B175" s="1" t="s">
        <v>353</v>
      </c>
      <c r="C175" s="1">
        <f>VLOOKUP(Table13[[#This Row],[Code]],'Main Storage'!A:D,3,0)</f>
        <v>615</v>
      </c>
      <c r="D175" s="1">
        <f>VLOOKUP(Table13[[#This Row],[Code]],'Main Storage'!A:E,4,0)</f>
        <v>5</v>
      </c>
      <c r="E175" s="11"/>
      <c r="F175" s="1">
        <f>Table13[[#This Row],[Box]]-Table13[[#This Row],[Order]]</f>
        <v>5</v>
      </c>
    </row>
    <row r="176" spans="1:6" x14ac:dyDescent="0.25">
      <c r="A176" s="1" t="s">
        <v>354</v>
      </c>
      <c r="B176" s="1" t="s">
        <v>355</v>
      </c>
      <c r="C176" s="1">
        <f>VLOOKUP(Table13[[#This Row],[Code]],'Main Storage'!A:D,3,0)</f>
        <v>547</v>
      </c>
      <c r="D176" s="1">
        <f>VLOOKUP(Table13[[#This Row],[Code]],'Main Storage'!A:E,4,0)</f>
        <v>4</v>
      </c>
      <c r="E176" s="11"/>
      <c r="F176" s="1">
        <f>Table13[[#This Row],[Box]]-Table13[[#This Row],[Order]]</f>
        <v>4</v>
      </c>
    </row>
    <row r="177" spans="1:6" x14ac:dyDescent="0.25">
      <c r="A177" s="1" t="s">
        <v>356</v>
      </c>
      <c r="B177" s="1" t="s">
        <v>357</v>
      </c>
      <c r="C177" s="1">
        <f>VLOOKUP(Table13[[#This Row],[Code]],'Main Storage'!A:D,3,0)</f>
        <v>481</v>
      </c>
      <c r="D177" s="1">
        <f>VLOOKUP(Table13[[#This Row],[Code]],'Main Storage'!A:E,4,0)</f>
        <v>4</v>
      </c>
      <c r="E177" s="11"/>
      <c r="F177" s="1">
        <f>Table13[[#This Row],[Box]]-Table13[[#This Row],[Order]]</f>
        <v>4</v>
      </c>
    </row>
    <row r="178" spans="1:6" x14ac:dyDescent="0.25">
      <c r="A178" s="1" t="s">
        <v>358</v>
      </c>
      <c r="B178" s="1" t="s">
        <v>359</v>
      </c>
      <c r="C178" s="1">
        <f>VLOOKUP(Table13[[#This Row],[Code]],'Main Storage'!A:D,3,0)</f>
        <v>1371</v>
      </c>
      <c r="D178" s="1">
        <f>VLOOKUP(Table13[[#This Row],[Code]],'Main Storage'!A:E,4,0)</f>
        <v>11</v>
      </c>
      <c r="E178" s="11"/>
      <c r="F178" s="1">
        <f>Table13[[#This Row],[Box]]-Table13[[#This Row],[Order]]</f>
        <v>11</v>
      </c>
    </row>
    <row r="179" spans="1:6" x14ac:dyDescent="0.25">
      <c r="A179" s="1" t="s">
        <v>360</v>
      </c>
      <c r="B179" s="1" t="s">
        <v>361</v>
      </c>
      <c r="C179" s="1">
        <f>VLOOKUP(Table13[[#This Row],[Code]],'Main Storage'!A:D,3,0)</f>
        <v>944</v>
      </c>
      <c r="D179" s="1">
        <f>VLOOKUP(Table13[[#This Row],[Code]],'Main Storage'!A:E,4,0)</f>
        <v>7</v>
      </c>
      <c r="E179" s="11"/>
      <c r="F179" s="1">
        <f>Table13[[#This Row],[Box]]-Table13[[#This Row],[Order]]</f>
        <v>7</v>
      </c>
    </row>
    <row r="180" spans="1:6" x14ac:dyDescent="0.25">
      <c r="A180" s="1" t="s">
        <v>362</v>
      </c>
      <c r="B180" s="1" t="s">
        <v>363</v>
      </c>
      <c r="C180" s="1">
        <f>VLOOKUP(Table13[[#This Row],[Code]],'Main Storage'!A:D,3,0)</f>
        <v>985</v>
      </c>
      <c r="D180" s="1">
        <f>VLOOKUP(Table13[[#This Row],[Code]],'Main Storage'!A:E,4,0)</f>
        <v>8</v>
      </c>
      <c r="E180" s="11"/>
      <c r="F180" s="1">
        <f>Table13[[#This Row],[Box]]-Table13[[#This Row],[Order]]</f>
        <v>8</v>
      </c>
    </row>
    <row r="181" spans="1:6" x14ac:dyDescent="0.25">
      <c r="A181" s="1" t="s">
        <v>364</v>
      </c>
      <c r="B181" s="1" t="s">
        <v>365</v>
      </c>
      <c r="C181" s="1">
        <f>VLOOKUP(Table13[[#This Row],[Code]],'Main Storage'!A:D,3,0)</f>
        <v>1374</v>
      </c>
      <c r="D181" s="1">
        <f>VLOOKUP(Table13[[#This Row],[Code]],'Main Storage'!A:E,4,0)</f>
        <v>11</v>
      </c>
      <c r="E181" s="11"/>
      <c r="F181" s="1">
        <f>Table13[[#This Row],[Box]]-Table13[[#This Row],[Order]]</f>
        <v>11</v>
      </c>
    </row>
    <row r="182" spans="1:6" x14ac:dyDescent="0.25">
      <c r="A182" s="1" t="s">
        <v>366</v>
      </c>
      <c r="B182" s="1" t="s">
        <v>367</v>
      </c>
      <c r="C182" s="1">
        <f>VLOOKUP(Table13[[#This Row],[Code]],'Main Storage'!A:D,3,0)</f>
        <v>326</v>
      </c>
      <c r="D182" s="1">
        <f>VLOOKUP(Table13[[#This Row],[Code]],'Main Storage'!A:E,4,0)</f>
        <v>2</v>
      </c>
      <c r="E182" s="11"/>
      <c r="F182" s="1">
        <f>Table13[[#This Row],[Box]]-Table13[[#This Row],[Order]]</f>
        <v>2</v>
      </c>
    </row>
    <row r="183" spans="1:6" x14ac:dyDescent="0.25">
      <c r="A183" s="1" t="s">
        <v>368</v>
      </c>
      <c r="B183" s="1" t="s">
        <v>369</v>
      </c>
      <c r="C183" s="1">
        <f>VLOOKUP(Table13[[#This Row],[Code]],'Main Storage'!A:D,3,0)</f>
        <v>1218</v>
      </c>
      <c r="D183" s="1">
        <f>VLOOKUP(Table13[[#This Row],[Code]],'Main Storage'!A:E,4,0)</f>
        <v>10</v>
      </c>
      <c r="E183" s="11"/>
      <c r="F183" s="1">
        <f>Table13[[#This Row],[Box]]-Table13[[#This Row],[Order]]</f>
        <v>10</v>
      </c>
    </row>
    <row r="184" spans="1:6" x14ac:dyDescent="0.25">
      <c r="A184" s="1" t="s">
        <v>370</v>
      </c>
      <c r="B184" s="1" t="s">
        <v>371</v>
      </c>
      <c r="C184" s="1">
        <f>VLOOKUP(Table13[[#This Row],[Code]],'Main Storage'!A:D,3,0)</f>
        <v>1121</v>
      </c>
      <c r="D184" s="1">
        <f>VLOOKUP(Table13[[#This Row],[Code]],'Main Storage'!A:E,4,0)</f>
        <v>9</v>
      </c>
      <c r="E184" s="11"/>
      <c r="F184" s="1">
        <f>Table13[[#This Row],[Box]]-Table13[[#This Row],[Order]]</f>
        <v>9</v>
      </c>
    </row>
    <row r="185" spans="1:6" x14ac:dyDescent="0.25">
      <c r="A185" s="1" t="s">
        <v>372</v>
      </c>
      <c r="B185" s="1" t="s">
        <v>373</v>
      </c>
      <c r="C185" s="1">
        <f>VLOOKUP(Table13[[#This Row],[Code]],'Main Storage'!A:D,3,0)</f>
        <v>1192</v>
      </c>
      <c r="D185" s="1">
        <f>VLOOKUP(Table13[[#This Row],[Code]],'Main Storage'!A:E,4,0)</f>
        <v>9</v>
      </c>
      <c r="E185" s="11"/>
      <c r="F185" s="1">
        <f>Table13[[#This Row],[Box]]-Table13[[#This Row],[Order]]</f>
        <v>9</v>
      </c>
    </row>
    <row r="186" spans="1:6" x14ac:dyDescent="0.25">
      <c r="A186" s="1" t="s">
        <v>374</v>
      </c>
      <c r="B186" s="1" t="s">
        <v>375</v>
      </c>
      <c r="C186" s="1">
        <f>VLOOKUP(Table13[[#This Row],[Code]],'Main Storage'!A:D,3,0)</f>
        <v>945</v>
      </c>
      <c r="D186" s="1">
        <f>VLOOKUP(Table13[[#This Row],[Code]],'Main Storage'!A:E,4,0)</f>
        <v>7</v>
      </c>
      <c r="E186" s="11"/>
      <c r="F186" s="1">
        <f>Table13[[#This Row],[Box]]-Table13[[#This Row],[Order]]</f>
        <v>7</v>
      </c>
    </row>
    <row r="187" spans="1:6" x14ac:dyDescent="0.25">
      <c r="A187" s="1" t="s">
        <v>376</v>
      </c>
      <c r="B187" s="1" t="s">
        <v>377</v>
      </c>
      <c r="C187" s="1">
        <f>VLOOKUP(Table13[[#This Row],[Code]],'Main Storage'!A:D,3,0)</f>
        <v>1319</v>
      </c>
      <c r="D187" s="1">
        <f>VLOOKUP(Table13[[#This Row],[Code]],'Main Storage'!A:E,4,0)</f>
        <v>10</v>
      </c>
      <c r="E187" s="11"/>
      <c r="F187" s="1">
        <f>Table13[[#This Row],[Box]]-Table13[[#This Row],[Order]]</f>
        <v>10</v>
      </c>
    </row>
    <row r="188" spans="1:6" x14ac:dyDescent="0.25">
      <c r="A188" s="1" t="s">
        <v>378</v>
      </c>
      <c r="B188" s="1" t="s">
        <v>379</v>
      </c>
      <c r="C188" s="1">
        <f>VLOOKUP(Table13[[#This Row],[Code]],'Main Storage'!A:D,3,0)</f>
        <v>1253</v>
      </c>
      <c r="D188" s="1">
        <f>VLOOKUP(Table13[[#This Row],[Code]],'Main Storage'!A:E,4,0)</f>
        <v>10</v>
      </c>
      <c r="E188" s="11"/>
      <c r="F188" s="1">
        <f>Table13[[#This Row],[Box]]-Table13[[#This Row],[Order]]</f>
        <v>10</v>
      </c>
    </row>
    <row r="189" spans="1:6" x14ac:dyDescent="0.25">
      <c r="A189" s="1" t="s">
        <v>380</v>
      </c>
      <c r="B189" s="1" t="s">
        <v>381</v>
      </c>
      <c r="C189" s="1">
        <f>VLOOKUP(Table13[[#This Row],[Code]],'Main Storage'!A:D,3,0)</f>
        <v>326</v>
      </c>
      <c r="D189" s="1">
        <f>VLOOKUP(Table13[[#This Row],[Code]],'Main Storage'!A:E,4,0)</f>
        <v>2</v>
      </c>
      <c r="E189" s="11"/>
      <c r="F189" s="1">
        <f>Table13[[#This Row],[Box]]-Table13[[#This Row],[Order]]</f>
        <v>2</v>
      </c>
    </row>
    <row r="190" spans="1:6" x14ac:dyDescent="0.25">
      <c r="A190" s="1" t="s">
        <v>382</v>
      </c>
      <c r="B190" s="1" t="s">
        <v>383</v>
      </c>
      <c r="C190" s="1">
        <f>VLOOKUP(Table13[[#This Row],[Code]],'Main Storage'!A:D,3,0)</f>
        <v>1285</v>
      </c>
      <c r="D190" s="1">
        <f>VLOOKUP(Table13[[#This Row],[Code]],'Main Storage'!A:E,4,0)</f>
        <v>10</v>
      </c>
      <c r="E190" s="11"/>
      <c r="F190" s="1">
        <f>Table13[[#This Row],[Box]]-Table13[[#This Row],[Order]]</f>
        <v>10</v>
      </c>
    </row>
    <row r="191" spans="1:6" x14ac:dyDescent="0.25">
      <c r="A191" s="1" t="s">
        <v>384</v>
      </c>
      <c r="B191" s="1" t="s">
        <v>385</v>
      </c>
      <c r="C191" s="1">
        <f>VLOOKUP(Table13[[#This Row],[Code]],'Main Storage'!A:D,3,0)</f>
        <v>1221</v>
      </c>
      <c r="D191" s="1">
        <f>VLOOKUP(Table13[[#This Row],[Code]],'Main Storage'!A:E,4,0)</f>
        <v>10</v>
      </c>
      <c r="E191" s="11"/>
      <c r="F191" s="1">
        <f>Table13[[#This Row],[Box]]-Table13[[#This Row],[Order]]</f>
        <v>10</v>
      </c>
    </row>
    <row r="192" spans="1:6" x14ac:dyDescent="0.25">
      <c r="A192" s="1" t="s">
        <v>386</v>
      </c>
      <c r="B192" s="1" t="s">
        <v>387</v>
      </c>
      <c r="C192" s="1">
        <f>VLOOKUP(Table13[[#This Row],[Code]],'Main Storage'!A:D,3,0)</f>
        <v>83</v>
      </c>
      <c r="D192" s="1">
        <f>VLOOKUP(Table13[[#This Row],[Code]],'Main Storage'!A:E,4,0)</f>
        <v>0</v>
      </c>
      <c r="E192" s="11"/>
      <c r="F192" s="1">
        <f>Table13[[#This Row],[Box]]-Table13[[#This Row],[Order]]</f>
        <v>0</v>
      </c>
    </row>
    <row r="193" spans="1:6" x14ac:dyDescent="0.25">
      <c r="A193" s="1" t="s">
        <v>388</v>
      </c>
      <c r="B193" s="1" t="s">
        <v>389</v>
      </c>
      <c r="C193" s="1">
        <f>VLOOKUP(Table13[[#This Row],[Code]],'Main Storage'!A:D,3,0)</f>
        <v>1436</v>
      </c>
      <c r="D193" s="1">
        <f>VLOOKUP(Table13[[#This Row],[Code]],'Main Storage'!A:E,4,0)</f>
        <v>17</v>
      </c>
      <c r="E193" s="11"/>
      <c r="F193" s="1">
        <f>Table13[[#This Row],[Box]]-Table13[[#This Row],[Order]]</f>
        <v>17</v>
      </c>
    </row>
    <row r="194" spans="1:6" x14ac:dyDescent="0.25">
      <c r="A194" s="1" t="s">
        <v>390</v>
      </c>
      <c r="B194" s="1" t="s">
        <v>391</v>
      </c>
      <c r="C194" s="1">
        <f>VLOOKUP(Table13[[#This Row],[Code]],'Main Storage'!A:D,3,0)</f>
        <v>249</v>
      </c>
      <c r="D194" s="1">
        <f>VLOOKUP(Table13[[#This Row],[Code]],'Main Storage'!A:E,4,0)</f>
        <v>3</v>
      </c>
      <c r="E194" s="11"/>
      <c r="F194" s="1">
        <f>Table13[[#This Row],[Box]]-Table13[[#This Row],[Order]]</f>
        <v>3</v>
      </c>
    </row>
    <row r="195" spans="1:6" x14ac:dyDescent="0.25">
      <c r="A195" s="1" t="s">
        <v>392</v>
      </c>
      <c r="B195" s="1" t="s">
        <v>393</v>
      </c>
      <c r="C195" s="1">
        <f>VLOOKUP(Table13[[#This Row],[Code]],'Main Storage'!A:D,3,0)</f>
        <v>260</v>
      </c>
      <c r="D195" s="1">
        <f>VLOOKUP(Table13[[#This Row],[Code]],'Main Storage'!A:E,4,0)</f>
        <v>3</v>
      </c>
      <c r="E195" s="11"/>
      <c r="F195" s="1">
        <f>Table13[[#This Row],[Box]]-Table13[[#This Row],[Order]]</f>
        <v>3</v>
      </c>
    </row>
    <row r="196" spans="1:6" x14ac:dyDescent="0.25">
      <c r="A196" s="1" t="s">
        <v>394</v>
      </c>
      <c r="B196" s="1" t="s">
        <v>395</v>
      </c>
      <c r="C196" s="1">
        <f>VLOOKUP(Table13[[#This Row],[Code]],'Main Storage'!A:D,3,0)</f>
        <v>337</v>
      </c>
      <c r="D196" s="1">
        <f>VLOOKUP(Table13[[#This Row],[Code]],'Main Storage'!A:E,4,0)</f>
        <v>4</v>
      </c>
      <c r="E196" s="11"/>
      <c r="F196" s="1">
        <f>Table13[[#This Row],[Box]]-Table13[[#This Row],[Order]]</f>
        <v>4</v>
      </c>
    </row>
    <row r="197" spans="1:6" x14ac:dyDescent="0.25">
      <c r="A197" s="1" t="s">
        <v>396</v>
      </c>
      <c r="B197" s="1" t="s">
        <v>397</v>
      </c>
      <c r="C197" s="1">
        <f>VLOOKUP(Table13[[#This Row],[Code]],'Main Storage'!A:D,3,0)</f>
        <v>895</v>
      </c>
      <c r="D197" s="1">
        <f>VLOOKUP(Table13[[#This Row],[Code]],'Main Storage'!A:E,4,0)</f>
        <v>11</v>
      </c>
      <c r="E197" s="11"/>
      <c r="F197" s="1">
        <f>Table13[[#This Row],[Box]]-Table13[[#This Row],[Order]]</f>
        <v>11</v>
      </c>
    </row>
    <row r="198" spans="1:6" x14ac:dyDescent="0.25">
      <c r="A198" s="1" t="s">
        <v>398</v>
      </c>
      <c r="B198" s="1" t="s">
        <v>399</v>
      </c>
      <c r="C198" s="1">
        <f>VLOOKUP(Table13[[#This Row],[Code]],'Main Storage'!A:D,3,0)</f>
        <v>853</v>
      </c>
      <c r="D198" s="1">
        <f>VLOOKUP(Table13[[#This Row],[Code]],'Main Storage'!A:E,4,0)</f>
        <v>10</v>
      </c>
      <c r="E198" s="11"/>
      <c r="F198" s="1">
        <f>Table13[[#This Row],[Box]]-Table13[[#This Row],[Order]]</f>
        <v>10</v>
      </c>
    </row>
    <row r="199" spans="1:6" x14ac:dyDescent="0.25">
      <c r="A199" s="1" t="s">
        <v>400</v>
      </c>
      <c r="B199" s="1" t="s">
        <v>401</v>
      </c>
      <c r="C199" s="1">
        <f>VLOOKUP(Table13[[#This Row],[Code]],'Main Storage'!A:D,3,0)</f>
        <v>551</v>
      </c>
      <c r="D199" s="1">
        <f>VLOOKUP(Table13[[#This Row],[Code]],'Main Storage'!A:E,4,0)</f>
        <v>6</v>
      </c>
      <c r="E199" s="11"/>
      <c r="F199" s="1">
        <f>Table13[[#This Row],[Box]]-Table13[[#This Row],[Order]]</f>
        <v>6</v>
      </c>
    </row>
    <row r="200" spans="1:6" x14ac:dyDescent="0.25">
      <c r="A200" s="1" t="s">
        <v>402</v>
      </c>
      <c r="B200" s="1" t="s">
        <v>403</v>
      </c>
      <c r="C200" s="1">
        <f>VLOOKUP(Table13[[#This Row],[Code]],'Main Storage'!A:D,3,0)</f>
        <v>425</v>
      </c>
      <c r="D200" s="1">
        <f>VLOOKUP(Table13[[#This Row],[Code]],'Main Storage'!A:E,4,0)</f>
        <v>5</v>
      </c>
      <c r="E200" s="11"/>
      <c r="F200" s="1">
        <f>Table13[[#This Row],[Box]]-Table13[[#This Row],[Order]]</f>
        <v>5</v>
      </c>
    </row>
    <row r="201" spans="1:6" x14ac:dyDescent="0.25">
      <c r="A201" s="1" t="s">
        <v>404</v>
      </c>
      <c r="B201" s="1" t="s">
        <v>405</v>
      </c>
      <c r="C201" s="1">
        <f>VLOOKUP(Table13[[#This Row],[Code]],'Main Storage'!A:D,3,0)</f>
        <v>981</v>
      </c>
      <c r="D201" s="1">
        <f>VLOOKUP(Table13[[#This Row],[Code]],'Main Storage'!A:E,4,0)</f>
        <v>12</v>
      </c>
      <c r="E201" s="11"/>
      <c r="F201" s="1">
        <f>Table13[[#This Row],[Box]]-Table13[[#This Row],[Order]]</f>
        <v>12</v>
      </c>
    </row>
    <row r="202" spans="1:6" x14ac:dyDescent="0.25">
      <c r="A202" s="1" t="s">
        <v>406</v>
      </c>
      <c r="B202" s="1" t="s">
        <v>407</v>
      </c>
      <c r="C202" s="1">
        <f>VLOOKUP(Table13[[#This Row],[Code]],'Main Storage'!A:D,3,0)</f>
        <v>922</v>
      </c>
      <c r="D202" s="1">
        <f>VLOOKUP(Table13[[#This Row],[Code]],'Main Storage'!A:E,4,0)</f>
        <v>11</v>
      </c>
      <c r="E202" s="11"/>
      <c r="F202" s="1">
        <f>Table13[[#This Row],[Box]]-Table13[[#This Row],[Order]]</f>
        <v>11</v>
      </c>
    </row>
    <row r="203" spans="1:6" x14ac:dyDescent="0.25">
      <c r="A203" s="1" t="s">
        <v>408</v>
      </c>
      <c r="B203" s="1" t="s">
        <v>409</v>
      </c>
      <c r="C203" s="1">
        <f>VLOOKUP(Table13[[#This Row],[Code]],'Main Storage'!A:D,3,0)</f>
        <v>515</v>
      </c>
      <c r="D203" s="1">
        <f>VLOOKUP(Table13[[#This Row],[Code]],'Main Storage'!A:E,4,0)</f>
        <v>6</v>
      </c>
      <c r="E203" s="11"/>
      <c r="F203" s="1">
        <f>Table13[[#This Row],[Box]]-Table13[[#This Row],[Order]]</f>
        <v>6</v>
      </c>
    </row>
    <row r="204" spans="1:6" x14ac:dyDescent="0.25">
      <c r="A204" s="1" t="s">
        <v>410</v>
      </c>
      <c r="B204" s="1" t="s">
        <v>411</v>
      </c>
      <c r="C204" s="1">
        <f>VLOOKUP(Table13[[#This Row],[Code]],'Main Storage'!A:D,3,0)</f>
        <v>965</v>
      </c>
      <c r="D204" s="1">
        <f>VLOOKUP(Table13[[#This Row],[Code]],'Main Storage'!A:E,4,0)</f>
        <v>12</v>
      </c>
      <c r="E204" s="11"/>
      <c r="F204" s="1">
        <f>Table13[[#This Row],[Box]]-Table13[[#This Row],[Order]]</f>
        <v>12</v>
      </c>
    </row>
    <row r="205" spans="1:6" x14ac:dyDescent="0.25">
      <c r="A205" s="1" t="s">
        <v>412</v>
      </c>
      <c r="B205" s="1" t="s">
        <v>413</v>
      </c>
      <c r="C205" s="1">
        <f>VLOOKUP(Table13[[#This Row],[Code]],'Main Storage'!A:D,3,0)</f>
        <v>1494</v>
      </c>
      <c r="D205" s="1">
        <f>VLOOKUP(Table13[[#This Row],[Code]],'Main Storage'!A:E,4,0)</f>
        <v>18</v>
      </c>
      <c r="E205" s="11"/>
      <c r="F205" s="1">
        <f>Table13[[#This Row],[Box]]-Table13[[#This Row],[Order]]</f>
        <v>18</v>
      </c>
    </row>
    <row r="206" spans="1:6" x14ac:dyDescent="0.25">
      <c r="A206" s="1" t="s">
        <v>414</v>
      </c>
      <c r="B206" s="1" t="s">
        <v>415</v>
      </c>
      <c r="C206" s="1">
        <f>VLOOKUP(Table13[[#This Row],[Code]],'Main Storage'!A:D,3,0)</f>
        <v>450</v>
      </c>
      <c r="D206" s="1">
        <f>VLOOKUP(Table13[[#This Row],[Code]],'Main Storage'!A:E,4,0)</f>
        <v>5</v>
      </c>
      <c r="E206" s="11"/>
      <c r="F206" s="1">
        <f>Table13[[#This Row],[Box]]-Table13[[#This Row],[Order]]</f>
        <v>5</v>
      </c>
    </row>
    <row r="207" spans="1:6" x14ac:dyDescent="0.25">
      <c r="A207" s="1" t="s">
        <v>416</v>
      </c>
      <c r="B207" s="1" t="s">
        <v>417</v>
      </c>
      <c r="C207" s="1">
        <f>VLOOKUP(Table13[[#This Row],[Code]],'Main Storage'!A:D,3,0)</f>
        <v>276</v>
      </c>
      <c r="D207" s="1">
        <f>VLOOKUP(Table13[[#This Row],[Code]],'Main Storage'!A:E,4,0)</f>
        <v>3</v>
      </c>
      <c r="E207" s="11"/>
      <c r="F207" s="1">
        <f>Table13[[#This Row],[Box]]-Table13[[#This Row],[Order]]</f>
        <v>3</v>
      </c>
    </row>
    <row r="208" spans="1:6" x14ac:dyDescent="0.25">
      <c r="A208" s="1" t="s">
        <v>418</v>
      </c>
      <c r="B208" s="1" t="s">
        <v>419</v>
      </c>
      <c r="C208" s="1">
        <f>VLOOKUP(Table13[[#This Row],[Code]],'Main Storage'!A:D,3,0)</f>
        <v>189</v>
      </c>
      <c r="D208" s="1">
        <f>VLOOKUP(Table13[[#This Row],[Code]],'Main Storage'!A:E,4,0)</f>
        <v>2</v>
      </c>
      <c r="E208" s="11"/>
      <c r="F208" s="1">
        <f>Table13[[#This Row],[Box]]-Table13[[#This Row],[Order]]</f>
        <v>2</v>
      </c>
    </row>
    <row r="209" spans="1:6" x14ac:dyDescent="0.25">
      <c r="A209" s="1" t="s">
        <v>420</v>
      </c>
      <c r="B209" s="1" t="s">
        <v>421</v>
      </c>
      <c r="C209" s="1">
        <f>VLOOKUP(Table13[[#This Row],[Code]],'Main Storage'!A:D,3,0)</f>
        <v>871</v>
      </c>
      <c r="D209" s="1">
        <f>VLOOKUP(Table13[[#This Row],[Code]],'Main Storage'!A:E,4,0)</f>
        <v>10</v>
      </c>
      <c r="E209" s="11"/>
      <c r="F209" s="1">
        <f>Table13[[#This Row],[Box]]-Table13[[#This Row],[Order]]</f>
        <v>10</v>
      </c>
    </row>
    <row r="210" spans="1:6" x14ac:dyDescent="0.25">
      <c r="A210" s="1" t="s">
        <v>422</v>
      </c>
      <c r="B210" s="1" t="s">
        <v>423</v>
      </c>
      <c r="C210" s="1">
        <f>VLOOKUP(Table13[[#This Row],[Code]],'Main Storage'!A:D,3,0)</f>
        <v>55</v>
      </c>
      <c r="D210" s="1">
        <f>VLOOKUP(Table13[[#This Row],[Code]],'Main Storage'!A:E,4,0)</f>
        <v>0</v>
      </c>
      <c r="E210" s="11"/>
      <c r="F210" s="1">
        <f>Table13[[#This Row],[Box]]-Table13[[#This Row],[Order]]</f>
        <v>0</v>
      </c>
    </row>
    <row r="211" spans="1:6" x14ac:dyDescent="0.25">
      <c r="A211" s="1" t="s">
        <v>427</v>
      </c>
      <c r="C211" s="1">
        <f>VLOOKUP(Table13[[#This Row],[Code]],'Main Storage'!A:D,3,0)</f>
        <v>155010</v>
      </c>
      <c r="D211" s="1">
        <f>VLOOKUP(Table13[[#This Row],[Code]],'Main Storage'!A:E,4,0)</f>
        <v>10</v>
      </c>
      <c r="E211" s="11"/>
      <c r="F211" s="1">
        <f>Table13[[#This Row],[Box]]-Table13[[#This Row],[Order]]</f>
        <v>10</v>
      </c>
    </row>
  </sheetData>
  <sheetProtection formatCells="0" formatColumns="0" formatRows="0" insertColumns="0" insertRows="0" insertHyperlinks="0" deleteColumns="0" deleteRows="0" sort="0" autoFilter="0" pivotTables="0"/>
  <dataValidations count="1">
    <dataValidation type="whole" allowBlank="1" showInputMessage="1" showErrorMessage="1" errorTitle="Enter Number" error="Just Number between 0 to BOX column" promptTitle="Enter Number" prompt="Just Number between 0 to BOX column" sqref="E2:E211" xr:uid="{477750CF-F3CE-4EB8-84DB-8B1CF075B3A3}">
      <formula1>0</formula1>
      <formula2>D2</formula2>
    </dataValidation>
  </dataValidation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87925-70EA-43E1-9564-7094A31BE571}">
  <dimension ref="A1:F211"/>
  <sheetViews>
    <sheetView workbookViewId="0">
      <selection sqref="A1:XFD1048576"/>
    </sheetView>
  </sheetViews>
  <sheetFormatPr defaultRowHeight="15" x14ac:dyDescent="0.25"/>
  <cols>
    <col min="1" max="2" width="9.140625" style="1"/>
    <col min="3" max="3" width="18.28515625" style="1" customWidth="1"/>
    <col min="4" max="16384" width="9.140625" style="1"/>
  </cols>
  <sheetData>
    <row r="1" spans="1:6" x14ac:dyDescent="0.25">
      <c r="A1" s="1" t="s">
        <v>2</v>
      </c>
      <c r="B1" s="1" t="s">
        <v>1</v>
      </c>
      <c r="C1" s="1" t="s">
        <v>428</v>
      </c>
      <c r="D1" s="1" t="s">
        <v>429</v>
      </c>
      <c r="E1" s="1" t="s">
        <v>430</v>
      </c>
      <c r="F1" s="1" t="s">
        <v>431</v>
      </c>
    </row>
    <row r="2" spans="1:6" x14ac:dyDescent="0.25">
      <c r="A2" s="1" t="s">
        <v>3</v>
      </c>
      <c r="B2" s="1" t="s">
        <v>4</v>
      </c>
      <c r="C2" s="1">
        <f>VLOOKUP(Table133[[#This Row],[Code]],'Main Storage'!A:D,3,0)</f>
        <v>754</v>
      </c>
      <c r="D2" s="1">
        <f>VLOOKUP(Table133[[#This Row],[Code]],Order!A:F,6,0)</f>
        <v>62</v>
      </c>
      <c r="E2" s="11"/>
      <c r="F2" s="1">
        <f>Table133[[#This Row],[Box]]-Table133[[#This Row],[Order]]</f>
        <v>62</v>
      </c>
    </row>
    <row r="3" spans="1:6" x14ac:dyDescent="0.25">
      <c r="A3" s="1" t="s">
        <v>6</v>
      </c>
      <c r="B3" s="1" t="s">
        <v>54</v>
      </c>
      <c r="C3" s="1">
        <f>VLOOKUP(Table133[[#This Row],[Code]],'Main Storage'!A:D,3,0)</f>
        <v>1440</v>
      </c>
      <c r="D3" s="1">
        <f>VLOOKUP(Table133[[#This Row],[Code]],Order!A:F,6,0)</f>
        <v>120</v>
      </c>
      <c r="E3" s="11"/>
      <c r="F3" s="1">
        <f>Table133[[#This Row],[Box]]-Table133[[#This Row],[Order]]</f>
        <v>120</v>
      </c>
    </row>
    <row r="4" spans="1:6" x14ac:dyDescent="0.25">
      <c r="A4" s="1" t="s">
        <v>7</v>
      </c>
      <c r="B4" s="1" t="s">
        <v>55</v>
      </c>
      <c r="C4" s="1">
        <f>VLOOKUP(Table133[[#This Row],[Code]],'Main Storage'!A:D,3,0)</f>
        <v>1383</v>
      </c>
      <c r="D4" s="1">
        <f>VLOOKUP(Table133[[#This Row],[Code]],Order!A:F,6,0)</f>
        <v>115</v>
      </c>
      <c r="E4" s="11"/>
      <c r="F4" s="1">
        <f>Table133[[#This Row],[Box]]-Table133[[#This Row],[Order]]</f>
        <v>115</v>
      </c>
    </row>
    <row r="5" spans="1:6" x14ac:dyDescent="0.25">
      <c r="A5" s="1" t="s">
        <v>8</v>
      </c>
      <c r="B5" s="1" t="s">
        <v>56</v>
      </c>
      <c r="C5" s="1">
        <f>VLOOKUP(Table133[[#This Row],[Code]],'Main Storage'!A:D,3,0)</f>
        <v>1376</v>
      </c>
      <c r="D5" s="1">
        <f>VLOOKUP(Table133[[#This Row],[Code]],Order!A:F,6,0)</f>
        <v>114</v>
      </c>
      <c r="E5" s="11"/>
      <c r="F5" s="1">
        <f>Table133[[#This Row],[Box]]-Table133[[#This Row],[Order]]</f>
        <v>114</v>
      </c>
    </row>
    <row r="6" spans="1:6" x14ac:dyDescent="0.25">
      <c r="A6" s="1" t="s">
        <v>9</v>
      </c>
      <c r="B6" s="1" t="s">
        <v>57</v>
      </c>
      <c r="C6" s="1">
        <f>VLOOKUP(Table133[[#This Row],[Code]],'Main Storage'!A:D,3,0)</f>
        <v>826</v>
      </c>
      <c r="D6" s="1">
        <f>VLOOKUP(Table133[[#This Row],[Code]],Order!A:F,6,0)</f>
        <v>68</v>
      </c>
      <c r="E6" s="11"/>
      <c r="F6" s="1">
        <f>Table133[[#This Row],[Box]]-Table133[[#This Row],[Order]]</f>
        <v>68</v>
      </c>
    </row>
    <row r="7" spans="1:6" x14ac:dyDescent="0.25">
      <c r="A7" s="1" t="s">
        <v>10</v>
      </c>
      <c r="B7" s="1" t="s">
        <v>58</v>
      </c>
      <c r="C7" s="1">
        <f>VLOOKUP(Table133[[#This Row],[Code]],'Main Storage'!A:D,3,0)</f>
        <v>939</v>
      </c>
      <c r="D7" s="1">
        <f>VLOOKUP(Table133[[#This Row],[Code]],Order!A:F,6,0)</f>
        <v>78</v>
      </c>
      <c r="E7" s="11"/>
      <c r="F7" s="1">
        <f>Table133[[#This Row],[Box]]-Table133[[#This Row],[Order]]</f>
        <v>78</v>
      </c>
    </row>
    <row r="8" spans="1:6" x14ac:dyDescent="0.25">
      <c r="A8" s="1" t="s">
        <v>11</v>
      </c>
      <c r="B8" s="1" t="s">
        <v>59</v>
      </c>
      <c r="C8" s="1">
        <f>VLOOKUP(Table133[[#This Row],[Code]],'Main Storage'!A:D,3,0)</f>
        <v>908</v>
      </c>
      <c r="D8" s="1">
        <f>VLOOKUP(Table133[[#This Row],[Code]],Order!A:F,6,0)</f>
        <v>75</v>
      </c>
      <c r="E8" s="11"/>
      <c r="F8" s="1">
        <f>Table133[[#This Row],[Box]]-Table133[[#This Row],[Order]]</f>
        <v>75</v>
      </c>
    </row>
    <row r="9" spans="1:6" x14ac:dyDescent="0.25">
      <c r="A9" s="1" t="s">
        <v>12</v>
      </c>
      <c r="B9" s="1" t="s">
        <v>60</v>
      </c>
      <c r="C9" s="1">
        <f>VLOOKUP(Table133[[#This Row],[Code]],'Main Storage'!A:D,3,0)</f>
        <v>675</v>
      </c>
      <c r="D9" s="1">
        <f>VLOOKUP(Table133[[#This Row],[Code]],Order!A:F,6,0)</f>
        <v>56</v>
      </c>
      <c r="E9" s="11"/>
      <c r="F9" s="1">
        <f>Table133[[#This Row],[Box]]-Table133[[#This Row],[Order]]</f>
        <v>56</v>
      </c>
    </row>
    <row r="10" spans="1:6" x14ac:dyDescent="0.25">
      <c r="A10" s="1" t="s">
        <v>13</v>
      </c>
      <c r="B10" s="1" t="s">
        <v>61</v>
      </c>
      <c r="C10" s="1">
        <f>VLOOKUP(Table133[[#This Row],[Code]],'Main Storage'!A:D,3,0)</f>
        <v>590</v>
      </c>
      <c r="D10" s="1">
        <f>VLOOKUP(Table133[[#This Row],[Code]],Order!A:F,6,0)</f>
        <v>49</v>
      </c>
      <c r="E10" s="11"/>
      <c r="F10" s="1">
        <f>Table133[[#This Row],[Box]]-Table133[[#This Row],[Order]]</f>
        <v>49</v>
      </c>
    </row>
    <row r="11" spans="1:6" x14ac:dyDescent="0.25">
      <c r="A11" s="1" t="s">
        <v>14</v>
      </c>
      <c r="B11" s="1" t="s">
        <v>62</v>
      </c>
      <c r="C11" s="1">
        <f>VLOOKUP(Table133[[#This Row],[Code]],'Main Storage'!A:D,3,0)</f>
        <v>973</v>
      </c>
      <c r="D11" s="1">
        <f>VLOOKUP(Table133[[#This Row],[Code]],Order!A:F,6,0)</f>
        <v>81</v>
      </c>
      <c r="E11" s="11"/>
      <c r="F11" s="1">
        <f>Table133[[#This Row],[Box]]-Table133[[#This Row],[Order]]</f>
        <v>81</v>
      </c>
    </row>
    <row r="12" spans="1:6" x14ac:dyDescent="0.25">
      <c r="A12" s="1" t="s">
        <v>15</v>
      </c>
      <c r="B12" s="1" t="s">
        <v>63</v>
      </c>
      <c r="C12" s="1">
        <f>VLOOKUP(Table133[[#This Row],[Code]],'Main Storage'!A:D,3,0)</f>
        <v>608</v>
      </c>
      <c r="D12" s="1">
        <f>VLOOKUP(Table133[[#This Row],[Code]],Order!A:F,6,0)</f>
        <v>50</v>
      </c>
      <c r="E12" s="11"/>
      <c r="F12" s="1">
        <f>Table133[[#This Row],[Box]]-Table133[[#This Row],[Order]]</f>
        <v>50</v>
      </c>
    </row>
    <row r="13" spans="1:6" x14ac:dyDescent="0.25">
      <c r="A13" s="1" t="s">
        <v>16</v>
      </c>
      <c r="B13" s="1" t="s">
        <v>64</v>
      </c>
      <c r="C13" s="1">
        <f>VLOOKUP(Table133[[#This Row],[Code]],'Main Storage'!A:D,3,0)</f>
        <v>1191</v>
      </c>
      <c r="D13" s="1">
        <f>VLOOKUP(Table133[[#This Row],[Code]],Order!A:F,6,0)</f>
        <v>99</v>
      </c>
      <c r="E13" s="11"/>
      <c r="F13" s="1">
        <f>Table133[[#This Row],[Box]]-Table133[[#This Row],[Order]]</f>
        <v>99</v>
      </c>
    </row>
    <row r="14" spans="1:6" x14ac:dyDescent="0.25">
      <c r="A14" s="1" t="s">
        <v>17</v>
      </c>
      <c r="B14" s="1" t="s">
        <v>65</v>
      </c>
      <c r="C14" s="1">
        <f>VLOOKUP(Table133[[#This Row],[Code]],'Main Storage'!A:D,3,0)</f>
        <v>336</v>
      </c>
      <c r="D14" s="1">
        <f>VLOOKUP(Table133[[#This Row],[Code]],Order!A:F,6,0)</f>
        <v>28</v>
      </c>
      <c r="E14" s="11"/>
      <c r="F14" s="1">
        <f>Table133[[#This Row],[Box]]-Table133[[#This Row],[Order]]</f>
        <v>28</v>
      </c>
    </row>
    <row r="15" spans="1:6" x14ac:dyDescent="0.25">
      <c r="A15" s="1" t="s">
        <v>18</v>
      </c>
      <c r="B15" s="1" t="s">
        <v>66</v>
      </c>
      <c r="C15" s="1">
        <f>VLOOKUP(Table133[[#This Row],[Code]],'Main Storage'!A:D,3,0)</f>
        <v>98</v>
      </c>
      <c r="D15" s="1">
        <f>VLOOKUP(Table133[[#This Row],[Code]],Order!A:F,6,0)</f>
        <v>8</v>
      </c>
      <c r="E15" s="11"/>
      <c r="F15" s="1">
        <f>Table133[[#This Row],[Box]]-Table133[[#This Row],[Order]]</f>
        <v>8</v>
      </c>
    </row>
    <row r="16" spans="1:6" x14ac:dyDescent="0.25">
      <c r="A16" s="1" t="s">
        <v>19</v>
      </c>
      <c r="B16" s="1" t="s">
        <v>67</v>
      </c>
      <c r="C16" s="1">
        <f>VLOOKUP(Table133[[#This Row],[Code]],'Main Storage'!A:D,3,0)</f>
        <v>145</v>
      </c>
      <c r="D16" s="1">
        <f>VLOOKUP(Table133[[#This Row],[Code]],Order!A:F,6,0)</f>
        <v>12</v>
      </c>
      <c r="E16" s="11"/>
      <c r="F16" s="1">
        <f>Table133[[#This Row],[Box]]-Table133[[#This Row],[Order]]</f>
        <v>12</v>
      </c>
    </row>
    <row r="17" spans="1:6" x14ac:dyDescent="0.25">
      <c r="A17" s="1" t="s">
        <v>20</v>
      </c>
      <c r="B17" s="1" t="s">
        <v>68</v>
      </c>
      <c r="C17" s="1">
        <f>VLOOKUP(Table133[[#This Row],[Code]],'Main Storage'!A:D,3,0)</f>
        <v>823</v>
      </c>
      <c r="D17" s="1">
        <f>VLOOKUP(Table133[[#This Row],[Code]],Order!A:F,6,0)</f>
        <v>68</v>
      </c>
      <c r="E17" s="11"/>
      <c r="F17" s="1">
        <f>Table133[[#This Row],[Box]]-Table133[[#This Row],[Order]]</f>
        <v>68</v>
      </c>
    </row>
    <row r="18" spans="1:6" x14ac:dyDescent="0.25">
      <c r="A18" s="1" t="s">
        <v>21</v>
      </c>
      <c r="B18" s="1" t="s">
        <v>69</v>
      </c>
      <c r="C18" s="1">
        <f>VLOOKUP(Table133[[#This Row],[Code]],'Main Storage'!A:D,3,0)</f>
        <v>1238</v>
      </c>
      <c r="D18" s="1">
        <f>VLOOKUP(Table133[[#This Row],[Code]],Order!A:F,6,0)</f>
        <v>103</v>
      </c>
      <c r="E18" s="11"/>
      <c r="F18" s="1">
        <f>Table133[[#This Row],[Box]]-Table133[[#This Row],[Order]]</f>
        <v>103</v>
      </c>
    </row>
    <row r="19" spans="1:6" x14ac:dyDescent="0.25">
      <c r="A19" s="1" t="s">
        <v>22</v>
      </c>
      <c r="B19" s="1" t="s">
        <v>70</v>
      </c>
      <c r="C19" s="1">
        <f>VLOOKUP(Table133[[#This Row],[Code]],'Main Storage'!A:D,3,0)</f>
        <v>624</v>
      </c>
      <c r="D19" s="1">
        <f>VLOOKUP(Table133[[#This Row],[Code]],Order!A:F,6,0)</f>
        <v>52</v>
      </c>
      <c r="E19" s="11"/>
      <c r="F19" s="1">
        <f>Table133[[#This Row],[Box]]-Table133[[#This Row],[Order]]</f>
        <v>52</v>
      </c>
    </row>
    <row r="20" spans="1:6" x14ac:dyDescent="0.25">
      <c r="A20" s="1" t="s">
        <v>23</v>
      </c>
      <c r="B20" s="1" t="s">
        <v>71</v>
      </c>
      <c r="C20" s="1">
        <f>VLOOKUP(Table133[[#This Row],[Code]],'Main Storage'!A:D,3,0)</f>
        <v>788</v>
      </c>
      <c r="D20" s="1">
        <f>VLOOKUP(Table133[[#This Row],[Code]],Order!A:F,6,0)</f>
        <v>65</v>
      </c>
      <c r="E20" s="11"/>
      <c r="F20" s="1">
        <f>Table133[[#This Row],[Box]]-Table133[[#This Row],[Order]]</f>
        <v>65</v>
      </c>
    </row>
    <row r="21" spans="1:6" x14ac:dyDescent="0.25">
      <c r="A21" s="1" t="s">
        <v>24</v>
      </c>
      <c r="B21" s="1" t="s">
        <v>72</v>
      </c>
      <c r="C21" s="1">
        <f>VLOOKUP(Table133[[#This Row],[Code]],'Main Storage'!A:D,3,0)</f>
        <v>368</v>
      </c>
      <c r="D21" s="1">
        <f>VLOOKUP(Table133[[#This Row],[Code]],Order!A:F,6,0)</f>
        <v>30</v>
      </c>
      <c r="E21" s="11"/>
      <c r="F21" s="1">
        <f>Table133[[#This Row],[Box]]-Table133[[#This Row],[Order]]</f>
        <v>30</v>
      </c>
    </row>
    <row r="22" spans="1:6" x14ac:dyDescent="0.25">
      <c r="A22" s="1" t="s">
        <v>25</v>
      </c>
      <c r="B22" s="1" t="s">
        <v>73</v>
      </c>
      <c r="C22" s="1">
        <f>VLOOKUP(Table133[[#This Row],[Code]],'Main Storage'!A:D,3,0)</f>
        <v>281</v>
      </c>
      <c r="D22" s="1">
        <f>VLOOKUP(Table133[[#This Row],[Code]],Order!A:F,6,0)</f>
        <v>23</v>
      </c>
      <c r="E22" s="11"/>
      <c r="F22" s="1">
        <f>Table133[[#This Row],[Box]]-Table133[[#This Row],[Order]]</f>
        <v>23</v>
      </c>
    </row>
    <row r="23" spans="1:6" x14ac:dyDescent="0.25">
      <c r="A23" s="1" t="s">
        <v>26</v>
      </c>
      <c r="B23" s="1" t="s">
        <v>74</v>
      </c>
      <c r="C23" s="1">
        <f>VLOOKUP(Table133[[#This Row],[Code]],'Main Storage'!A:D,3,0)</f>
        <v>1480</v>
      </c>
      <c r="D23" s="1">
        <f>VLOOKUP(Table133[[#This Row],[Code]],Order!A:F,6,0)</f>
        <v>123</v>
      </c>
      <c r="E23" s="11"/>
      <c r="F23" s="1">
        <f>Table133[[#This Row],[Box]]-Table133[[#This Row],[Order]]</f>
        <v>123</v>
      </c>
    </row>
    <row r="24" spans="1:6" x14ac:dyDescent="0.25">
      <c r="A24" s="1" t="s">
        <v>27</v>
      </c>
      <c r="B24" s="1" t="s">
        <v>75</v>
      </c>
      <c r="C24" s="1">
        <f>VLOOKUP(Table133[[#This Row],[Code]],'Main Storage'!A:D,3,0)</f>
        <v>1088</v>
      </c>
      <c r="D24" s="1">
        <f>VLOOKUP(Table133[[#This Row],[Code]],Order!A:F,6,0)</f>
        <v>90</v>
      </c>
      <c r="E24" s="11"/>
      <c r="F24" s="1">
        <f>Table133[[#This Row],[Box]]-Table133[[#This Row],[Order]]</f>
        <v>90</v>
      </c>
    </row>
    <row r="25" spans="1:6" x14ac:dyDescent="0.25">
      <c r="A25" s="1" t="s">
        <v>28</v>
      </c>
      <c r="B25" s="1" t="s">
        <v>76</v>
      </c>
      <c r="C25" s="1">
        <f>VLOOKUP(Table133[[#This Row],[Code]],'Main Storage'!A:D,3,0)</f>
        <v>8</v>
      </c>
      <c r="D25" s="1">
        <f>VLOOKUP(Table133[[#This Row],[Code]],Order!A:F,6,0)</f>
        <v>0</v>
      </c>
      <c r="E25" s="11"/>
      <c r="F25" s="1">
        <f>Table133[[#This Row],[Box]]-Table133[[#This Row],[Order]]</f>
        <v>0</v>
      </c>
    </row>
    <row r="26" spans="1:6" x14ac:dyDescent="0.25">
      <c r="A26" s="1" t="s">
        <v>29</v>
      </c>
      <c r="B26" s="1" t="s">
        <v>77</v>
      </c>
      <c r="C26" s="1">
        <f>VLOOKUP(Table133[[#This Row],[Code]],'Main Storage'!A:D,3,0)</f>
        <v>82</v>
      </c>
      <c r="D26" s="1">
        <f>VLOOKUP(Table133[[#This Row],[Code]],Order!A:F,6,0)</f>
        <v>6</v>
      </c>
      <c r="E26" s="11"/>
      <c r="F26" s="1">
        <f>Table133[[#This Row],[Box]]-Table133[[#This Row],[Order]]</f>
        <v>6</v>
      </c>
    </row>
    <row r="27" spans="1:6" x14ac:dyDescent="0.25">
      <c r="A27" s="1" t="s">
        <v>30</v>
      </c>
      <c r="B27" s="1" t="s">
        <v>78</v>
      </c>
      <c r="C27" s="1">
        <f>VLOOKUP(Table133[[#This Row],[Code]],'Main Storage'!A:D,3,0)</f>
        <v>518</v>
      </c>
      <c r="D27" s="1">
        <f>VLOOKUP(Table133[[#This Row],[Code]],Order!A:F,6,0)</f>
        <v>43</v>
      </c>
      <c r="E27" s="11"/>
      <c r="F27" s="1">
        <f>Table133[[#This Row],[Box]]-Table133[[#This Row],[Order]]</f>
        <v>43</v>
      </c>
    </row>
    <row r="28" spans="1:6" x14ac:dyDescent="0.25">
      <c r="A28" s="1" t="s">
        <v>31</v>
      </c>
      <c r="B28" s="1" t="s">
        <v>79</v>
      </c>
      <c r="C28" s="1">
        <f>VLOOKUP(Table133[[#This Row],[Code]],'Main Storage'!A:D,3,0)</f>
        <v>459</v>
      </c>
      <c r="D28" s="1">
        <f>VLOOKUP(Table133[[#This Row],[Code]],Order!A:F,6,0)</f>
        <v>38</v>
      </c>
      <c r="E28" s="11"/>
      <c r="F28" s="1">
        <f>Table133[[#This Row],[Box]]-Table133[[#This Row],[Order]]</f>
        <v>38</v>
      </c>
    </row>
    <row r="29" spans="1:6" x14ac:dyDescent="0.25">
      <c r="A29" s="1" t="s">
        <v>32</v>
      </c>
      <c r="B29" s="1" t="s">
        <v>80</v>
      </c>
      <c r="C29" s="1">
        <f>VLOOKUP(Table133[[#This Row],[Code]],'Main Storage'!A:D,3,0)</f>
        <v>305</v>
      </c>
      <c r="D29" s="1">
        <f>VLOOKUP(Table133[[#This Row],[Code]],Order!A:F,6,0)</f>
        <v>25</v>
      </c>
      <c r="E29" s="11"/>
      <c r="F29" s="1">
        <f>Table133[[#This Row],[Box]]-Table133[[#This Row],[Order]]</f>
        <v>25</v>
      </c>
    </row>
    <row r="30" spans="1:6" x14ac:dyDescent="0.25">
      <c r="A30" s="1" t="s">
        <v>33</v>
      </c>
      <c r="B30" s="1" t="s">
        <v>81</v>
      </c>
      <c r="C30" s="1">
        <f>VLOOKUP(Table133[[#This Row],[Code]],'Main Storage'!A:D,3,0)</f>
        <v>348</v>
      </c>
      <c r="D30" s="1">
        <f>VLOOKUP(Table133[[#This Row],[Code]],Order!A:F,6,0)</f>
        <v>29</v>
      </c>
      <c r="E30" s="11"/>
      <c r="F30" s="1">
        <f>Table133[[#This Row],[Box]]-Table133[[#This Row],[Order]]</f>
        <v>29</v>
      </c>
    </row>
    <row r="31" spans="1:6" x14ac:dyDescent="0.25">
      <c r="A31" s="1" t="s">
        <v>34</v>
      </c>
      <c r="B31" s="1" t="s">
        <v>82</v>
      </c>
      <c r="C31" s="1">
        <f>VLOOKUP(Table133[[#This Row],[Code]],'Main Storage'!A:D,3,0)</f>
        <v>222</v>
      </c>
      <c r="D31" s="1">
        <f>VLOOKUP(Table133[[#This Row],[Code]],Order!A:F,6,0)</f>
        <v>18</v>
      </c>
      <c r="E31" s="11"/>
      <c r="F31" s="1">
        <f>Table133[[#This Row],[Box]]-Table133[[#This Row],[Order]]</f>
        <v>18</v>
      </c>
    </row>
    <row r="32" spans="1:6" x14ac:dyDescent="0.25">
      <c r="A32" s="1" t="s">
        <v>35</v>
      </c>
      <c r="B32" s="1" t="s">
        <v>83</v>
      </c>
      <c r="C32" s="1">
        <f>VLOOKUP(Table133[[#This Row],[Code]],'Main Storage'!A:D,3,0)</f>
        <v>729</v>
      </c>
      <c r="D32" s="1">
        <f>VLOOKUP(Table133[[#This Row],[Code]],Order!A:F,6,0)</f>
        <v>60</v>
      </c>
      <c r="E32" s="11"/>
      <c r="F32" s="1">
        <f>Table133[[#This Row],[Box]]-Table133[[#This Row],[Order]]</f>
        <v>60</v>
      </c>
    </row>
    <row r="33" spans="1:6" x14ac:dyDescent="0.25">
      <c r="A33" s="1" t="s">
        <v>36</v>
      </c>
      <c r="B33" s="1" t="s">
        <v>84</v>
      </c>
      <c r="C33" s="1">
        <f>VLOOKUP(Table133[[#This Row],[Code]],'Main Storage'!A:D,3,0)</f>
        <v>874</v>
      </c>
      <c r="D33" s="1">
        <f>VLOOKUP(Table133[[#This Row],[Code]],Order!A:F,6,0)</f>
        <v>72</v>
      </c>
      <c r="E33" s="11"/>
      <c r="F33" s="1">
        <f>Table133[[#This Row],[Box]]-Table133[[#This Row],[Order]]</f>
        <v>72</v>
      </c>
    </row>
    <row r="34" spans="1:6" x14ac:dyDescent="0.25">
      <c r="A34" s="1" t="s">
        <v>37</v>
      </c>
      <c r="B34" s="1" t="s">
        <v>85</v>
      </c>
      <c r="C34" s="1">
        <f>VLOOKUP(Table133[[#This Row],[Code]],'Main Storage'!A:D,3,0)</f>
        <v>377</v>
      </c>
      <c r="D34" s="1">
        <f>VLOOKUP(Table133[[#This Row],[Code]],Order!A:F,6,0)</f>
        <v>31</v>
      </c>
      <c r="E34" s="11"/>
      <c r="F34" s="1">
        <f>Table133[[#This Row],[Box]]-Table133[[#This Row],[Order]]</f>
        <v>31</v>
      </c>
    </row>
    <row r="35" spans="1:6" x14ac:dyDescent="0.25">
      <c r="A35" s="1" t="s">
        <v>38</v>
      </c>
      <c r="B35" s="1" t="s">
        <v>86</v>
      </c>
      <c r="C35" s="1">
        <f>VLOOKUP(Table133[[#This Row],[Code]],'Main Storage'!A:D,3,0)</f>
        <v>1189</v>
      </c>
      <c r="D35" s="1">
        <f>VLOOKUP(Table133[[#This Row],[Code]],Order!A:F,6,0)</f>
        <v>99</v>
      </c>
      <c r="E35" s="11"/>
      <c r="F35" s="1">
        <f>Table133[[#This Row],[Box]]-Table133[[#This Row],[Order]]</f>
        <v>99</v>
      </c>
    </row>
    <row r="36" spans="1:6" x14ac:dyDescent="0.25">
      <c r="A36" s="1" t="s">
        <v>39</v>
      </c>
      <c r="B36" s="1" t="s">
        <v>87</v>
      </c>
      <c r="C36" s="1">
        <f>VLOOKUP(Table133[[#This Row],[Code]],'Main Storage'!A:D,3,0)</f>
        <v>1006</v>
      </c>
      <c r="D36" s="1">
        <f>VLOOKUP(Table133[[#This Row],[Code]],Order!A:F,6,0)</f>
        <v>83</v>
      </c>
      <c r="E36" s="11"/>
      <c r="F36" s="1">
        <f>Table133[[#This Row],[Box]]-Table133[[#This Row],[Order]]</f>
        <v>83</v>
      </c>
    </row>
    <row r="37" spans="1:6" x14ac:dyDescent="0.25">
      <c r="A37" s="1" t="s">
        <v>40</v>
      </c>
      <c r="B37" s="1" t="s">
        <v>88</v>
      </c>
      <c r="C37" s="1">
        <f>VLOOKUP(Table133[[#This Row],[Code]],'Main Storage'!A:D,3,0)</f>
        <v>59</v>
      </c>
      <c r="D37" s="1">
        <f>VLOOKUP(Table133[[#This Row],[Code]],Order!A:F,6,0)</f>
        <v>4</v>
      </c>
      <c r="E37" s="11"/>
      <c r="F37" s="1">
        <f>Table133[[#This Row],[Box]]-Table133[[#This Row],[Order]]</f>
        <v>4</v>
      </c>
    </row>
    <row r="38" spans="1:6" x14ac:dyDescent="0.25">
      <c r="A38" s="1" t="s">
        <v>41</v>
      </c>
      <c r="B38" s="1" t="s">
        <v>89</v>
      </c>
      <c r="C38" s="1">
        <f>VLOOKUP(Table133[[#This Row],[Code]],'Main Storage'!A:D,3,0)</f>
        <v>1087</v>
      </c>
      <c r="D38" s="1">
        <f>VLOOKUP(Table133[[#This Row],[Code]],Order!A:F,6,0)</f>
        <v>90</v>
      </c>
      <c r="E38" s="11"/>
      <c r="F38" s="1">
        <f>Table133[[#This Row],[Box]]-Table133[[#This Row],[Order]]</f>
        <v>90</v>
      </c>
    </row>
    <row r="39" spans="1:6" x14ac:dyDescent="0.25">
      <c r="A39" s="1" t="s">
        <v>42</v>
      </c>
      <c r="B39" s="1" t="s">
        <v>90</v>
      </c>
      <c r="C39" s="1">
        <f>VLOOKUP(Table133[[#This Row],[Code]],'Main Storage'!A:D,3,0)</f>
        <v>281</v>
      </c>
      <c r="D39" s="1">
        <f>VLOOKUP(Table133[[#This Row],[Code]],Order!A:F,6,0)</f>
        <v>23</v>
      </c>
      <c r="E39" s="11"/>
      <c r="F39" s="1">
        <f>Table133[[#This Row],[Box]]-Table133[[#This Row],[Order]]</f>
        <v>23</v>
      </c>
    </row>
    <row r="40" spans="1:6" x14ac:dyDescent="0.25">
      <c r="A40" s="1" t="s">
        <v>43</v>
      </c>
      <c r="B40" s="1" t="s">
        <v>91</v>
      </c>
      <c r="C40" s="1">
        <f>VLOOKUP(Table133[[#This Row],[Code]],'Main Storage'!A:D,3,0)</f>
        <v>1125</v>
      </c>
      <c r="D40" s="1">
        <f>VLOOKUP(Table133[[#This Row],[Code]],Order!A:F,6,0)</f>
        <v>93</v>
      </c>
      <c r="E40" s="11"/>
      <c r="F40" s="1">
        <f>Table133[[#This Row],[Box]]-Table133[[#This Row],[Order]]</f>
        <v>93</v>
      </c>
    </row>
    <row r="41" spans="1:6" x14ac:dyDescent="0.25">
      <c r="A41" s="1" t="s">
        <v>44</v>
      </c>
      <c r="B41" s="1" t="s">
        <v>92</v>
      </c>
      <c r="C41" s="1">
        <f>VLOOKUP(Table133[[#This Row],[Code]],'Main Storage'!A:D,3,0)</f>
        <v>281</v>
      </c>
      <c r="D41" s="1">
        <f>VLOOKUP(Table133[[#This Row],[Code]],Order!A:F,6,0)</f>
        <v>23</v>
      </c>
      <c r="E41" s="11"/>
      <c r="F41" s="1">
        <f>Table133[[#This Row],[Box]]-Table133[[#This Row],[Order]]</f>
        <v>23</v>
      </c>
    </row>
    <row r="42" spans="1:6" x14ac:dyDescent="0.25">
      <c r="A42" s="1" t="s">
        <v>45</v>
      </c>
      <c r="B42" s="1" t="s">
        <v>93</v>
      </c>
      <c r="C42" s="1">
        <f>VLOOKUP(Table133[[#This Row],[Code]],'Main Storage'!A:D,3,0)</f>
        <v>354</v>
      </c>
      <c r="D42" s="1">
        <f>VLOOKUP(Table133[[#This Row],[Code]],Order!A:F,6,0)</f>
        <v>29</v>
      </c>
      <c r="E42" s="11"/>
      <c r="F42" s="1">
        <f>Table133[[#This Row],[Box]]-Table133[[#This Row],[Order]]</f>
        <v>29</v>
      </c>
    </row>
    <row r="43" spans="1:6" x14ac:dyDescent="0.25">
      <c r="A43" s="1" t="s">
        <v>46</v>
      </c>
      <c r="B43" s="1" t="s">
        <v>94</v>
      </c>
      <c r="C43" s="1">
        <f>VLOOKUP(Table133[[#This Row],[Code]],'Main Storage'!A:D,3,0)</f>
        <v>649</v>
      </c>
      <c r="D43" s="1">
        <f>VLOOKUP(Table133[[#This Row],[Code]],Order!A:F,6,0)</f>
        <v>54</v>
      </c>
      <c r="E43" s="11"/>
      <c r="F43" s="1">
        <f>Table133[[#This Row],[Box]]-Table133[[#This Row],[Order]]</f>
        <v>54</v>
      </c>
    </row>
    <row r="44" spans="1:6" x14ac:dyDescent="0.25">
      <c r="A44" s="1" t="s">
        <v>47</v>
      </c>
      <c r="B44" s="1" t="s">
        <v>95</v>
      </c>
      <c r="C44" s="1">
        <f>VLOOKUP(Table133[[#This Row],[Code]],'Main Storage'!A:D,3,0)</f>
        <v>1322</v>
      </c>
      <c r="D44" s="1">
        <f>VLOOKUP(Table133[[#This Row],[Code]],Order!A:F,6,0)</f>
        <v>110</v>
      </c>
      <c r="E44" s="11"/>
      <c r="F44" s="1">
        <f>Table133[[#This Row],[Box]]-Table133[[#This Row],[Order]]</f>
        <v>110</v>
      </c>
    </row>
    <row r="45" spans="1:6" x14ac:dyDescent="0.25">
      <c r="A45" s="1" t="s">
        <v>48</v>
      </c>
      <c r="B45" s="1" t="s">
        <v>96</v>
      </c>
      <c r="C45" s="1">
        <f>VLOOKUP(Table133[[#This Row],[Code]],'Main Storage'!A:D,3,0)</f>
        <v>1038</v>
      </c>
      <c r="D45" s="1">
        <f>VLOOKUP(Table133[[#This Row],[Code]],Order!A:F,6,0)</f>
        <v>86</v>
      </c>
      <c r="E45" s="11"/>
      <c r="F45" s="1">
        <f>Table133[[#This Row],[Box]]-Table133[[#This Row],[Order]]</f>
        <v>86</v>
      </c>
    </row>
    <row r="46" spans="1:6" x14ac:dyDescent="0.25">
      <c r="A46" s="1" t="s">
        <v>49</v>
      </c>
      <c r="B46" s="1" t="s">
        <v>97</v>
      </c>
      <c r="C46" s="1">
        <f>VLOOKUP(Table133[[#This Row],[Code]],'Main Storage'!A:D,3,0)</f>
        <v>340</v>
      </c>
      <c r="D46" s="1">
        <f>VLOOKUP(Table133[[#This Row],[Code]],Order!A:F,6,0)</f>
        <v>28</v>
      </c>
      <c r="E46" s="11"/>
      <c r="F46" s="1">
        <f>Table133[[#This Row],[Box]]-Table133[[#This Row],[Order]]</f>
        <v>28</v>
      </c>
    </row>
    <row r="47" spans="1:6" x14ac:dyDescent="0.25">
      <c r="A47" s="1" t="s">
        <v>50</v>
      </c>
      <c r="B47" s="1" t="s">
        <v>98</v>
      </c>
      <c r="C47" s="1">
        <f>VLOOKUP(Table133[[#This Row],[Code]],'Main Storage'!A:D,3,0)</f>
        <v>399</v>
      </c>
      <c r="D47" s="1">
        <f>VLOOKUP(Table133[[#This Row],[Code]],Order!A:F,6,0)</f>
        <v>33</v>
      </c>
      <c r="E47" s="11"/>
      <c r="F47" s="1">
        <f>Table133[[#This Row],[Box]]-Table133[[#This Row],[Order]]</f>
        <v>33</v>
      </c>
    </row>
    <row r="48" spans="1:6" x14ac:dyDescent="0.25">
      <c r="A48" s="1" t="s">
        <v>51</v>
      </c>
      <c r="B48" s="1" t="s">
        <v>99</v>
      </c>
      <c r="C48" s="1">
        <f>VLOOKUP(Table133[[#This Row],[Code]],'Main Storage'!A:D,3,0)</f>
        <v>468</v>
      </c>
      <c r="D48" s="1">
        <f>VLOOKUP(Table133[[#This Row],[Code]],Order!A:F,6,0)</f>
        <v>39</v>
      </c>
      <c r="E48" s="11"/>
      <c r="F48" s="1">
        <f>Table133[[#This Row],[Box]]-Table133[[#This Row],[Order]]</f>
        <v>39</v>
      </c>
    </row>
    <row r="49" spans="1:6" x14ac:dyDescent="0.25">
      <c r="A49" s="1" t="s">
        <v>52</v>
      </c>
      <c r="B49" s="1" t="s">
        <v>100</v>
      </c>
      <c r="C49" s="1">
        <f>VLOOKUP(Table133[[#This Row],[Code]],'Main Storage'!A:D,3,0)</f>
        <v>829</v>
      </c>
      <c r="D49" s="1">
        <f>VLOOKUP(Table133[[#This Row],[Code]],Order!A:F,6,0)</f>
        <v>69</v>
      </c>
      <c r="E49" s="11"/>
      <c r="F49" s="1">
        <f>Table133[[#This Row],[Box]]-Table133[[#This Row],[Order]]</f>
        <v>69</v>
      </c>
    </row>
    <row r="50" spans="1:6" x14ac:dyDescent="0.25">
      <c r="A50" s="1" t="s">
        <v>53</v>
      </c>
      <c r="B50" s="1" t="s">
        <v>101</v>
      </c>
      <c r="C50" s="1">
        <f>VLOOKUP(Table133[[#This Row],[Code]],'Main Storage'!A:D,3,0)</f>
        <v>1420</v>
      </c>
      <c r="D50" s="1">
        <f>VLOOKUP(Table133[[#This Row],[Code]],Order!A:F,6,0)</f>
        <v>118</v>
      </c>
      <c r="E50" s="11"/>
      <c r="F50" s="1">
        <f>Table133[[#This Row],[Box]]-Table133[[#This Row],[Order]]</f>
        <v>118</v>
      </c>
    </row>
    <row r="51" spans="1:6" x14ac:dyDescent="0.25">
      <c r="A51" s="1" t="s">
        <v>102</v>
      </c>
      <c r="B51" s="1" t="s">
        <v>152</v>
      </c>
      <c r="C51" s="1">
        <f>VLOOKUP(Table133[[#This Row],[Code]],'Main Storage'!A:D,3,0)</f>
        <v>765</v>
      </c>
      <c r="D51" s="1">
        <f>VLOOKUP(Table133[[#This Row],[Code]],Order!A:F,6,0)</f>
        <v>15</v>
      </c>
      <c r="E51" s="11"/>
      <c r="F51" s="1">
        <f>Table133[[#This Row],[Box]]-Table133[[#This Row],[Order]]</f>
        <v>15</v>
      </c>
    </row>
    <row r="52" spans="1:6" x14ac:dyDescent="0.25">
      <c r="A52" s="1" t="s">
        <v>103</v>
      </c>
      <c r="B52" s="1" t="s">
        <v>153</v>
      </c>
      <c r="C52" s="1">
        <f>VLOOKUP(Table133[[#This Row],[Code]],'Main Storage'!A:D,3,0)</f>
        <v>916</v>
      </c>
      <c r="D52" s="1">
        <f>VLOOKUP(Table133[[#This Row],[Code]],Order!A:F,6,0)</f>
        <v>19</v>
      </c>
      <c r="E52" s="11"/>
      <c r="F52" s="1">
        <f>Table133[[#This Row],[Box]]-Table133[[#This Row],[Order]]</f>
        <v>19</v>
      </c>
    </row>
    <row r="53" spans="1:6" x14ac:dyDescent="0.25">
      <c r="A53" s="1" t="s">
        <v>104</v>
      </c>
      <c r="B53" s="1" t="s">
        <v>154</v>
      </c>
      <c r="C53" s="1">
        <f>VLOOKUP(Table133[[#This Row],[Code]],'Main Storage'!A:D,3,0)</f>
        <v>1012</v>
      </c>
      <c r="D53" s="1">
        <f>VLOOKUP(Table133[[#This Row],[Code]],Order!A:F,6,0)</f>
        <v>21</v>
      </c>
      <c r="E53" s="11"/>
      <c r="F53" s="1">
        <f>Table133[[#This Row],[Box]]-Table133[[#This Row],[Order]]</f>
        <v>21</v>
      </c>
    </row>
    <row r="54" spans="1:6" x14ac:dyDescent="0.25">
      <c r="A54" s="1" t="s">
        <v>105</v>
      </c>
      <c r="B54" s="1" t="s">
        <v>155</v>
      </c>
      <c r="C54" s="1">
        <f>VLOOKUP(Table133[[#This Row],[Code]],'Main Storage'!A:D,3,0)</f>
        <v>299</v>
      </c>
      <c r="D54" s="1">
        <f>VLOOKUP(Table133[[#This Row],[Code]],Order!A:F,6,0)</f>
        <v>6</v>
      </c>
      <c r="E54" s="11"/>
      <c r="F54" s="1">
        <f>Table133[[#This Row],[Box]]-Table133[[#This Row],[Order]]</f>
        <v>6</v>
      </c>
    </row>
    <row r="55" spans="1:6" x14ac:dyDescent="0.25">
      <c r="A55" s="1" t="s">
        <v>106</v>
      </c>
      <c r="B55" s="1" t="s">
        <v>156</v>
      </c>
      <c r="C55" s="1">
        <f>VLOOKUP(Table133[[#This Row],[Code]],'Main Storage'!A:D,3,0)</f>
        <v>1361</v>
      </c>
      <c r="D55" s="1">
        <f>VLOOKUP(Table133[[#This Row],[Code]],Order!A:F,6,0)</f>
        <v>28</v>
      </c>
      <c r="E55" s="11"/>
      <c r="F55" s="1">
        <f>Table133[[#This Row],[Box]]-Table133[[#This Row],[Order]]</f>
        <v>28</v>
      </c>
    </row>
    <row r="56" spans="1:6" x14ac:dyDescent="0.25">
      <c r="A56" s="1" t="s">
        <v>107</v>
      </c>
      <c r="B56" s="1" t="s">
        <v>157</v>
      </c>
      <c r="C56" s="1">
        <f>VLOOKUP(Table133[[#This Row],[Code]],'Main Storage'!A:D,3,0)</f>
        <v>621</v>
      </c>
      <c r="D56" s="1">
        <f>VLOOKUP(Table133[[#This Row],[Code]],Order!A:F,6,0)</f>
        <v>12</v>
      </c>
      <c r="E56" s="11"/>
      <c r="F56" s="1">
        <f>Table133[[#This Row],[Box]]-Table133[[#This Row],[Order]]</f>
        <v>12</v>
      </c>
    </row>
    <row r="57" spans="1:6" x14ac:dyDescent="0.25">
      <c r="A57" s="1" t="s">
        <v>108</v>
      </c>
      <c r="B57" s="1" t="s">
        <v>158</v>
      </c>
      <c r="C57" s="1">
        <f>VLOOKUP(Table133[[#This Row],[Code]],'Main Storage'!A:D,3,0)</f>
        <v>775</v>
      </c>
      <c r="D57" s="1">
        <f>VLOOKUP(Table133[[#This Row],[Code]],Order!A:F,6,0)</f>
        <v>16</v>
      </c>
      <c r="E57" s="11"/>
      <c r="F57" s="1">
        <f>Table133[[#This Row],[Box]]-Table133[[#This Row],[Order]]</f>
        <v>16</v>
      </c>
    </row>
    <row r="58" spans="1:6" x14ac:dyDescent="0.25">
      <c r="A58" s="1" t="s">
        <v>109</v>
      </c>
      <c r="B58" s="1" t="s">
        <v>159</v>
      </c>
      <c r="C58" s="1">
        <f>VLOOKUP(Table133[[#This Row],[Code]],'Main Storage'!A:D,3,0)</f>
        <v>316</v>
      </c>
      <c r="D58" s="1">
        <f>VLOOKUP(Table133[[#This Row],[Code]],Order!A:F,6,0)</f>
        <v>6</v>
      </c>
      <c r="E58" s="11"/>
      <c r="F58" s="1">
        <f>Table133[[#This Row],[Box]]-Table133[[#This Row],[Order]]</f>
        <v>6</v>
      </c>
    </row>
    <row r="59" spans="1:6" x14ac:dyDescent="0.25">
      <c r="A59" s="1" t="s">
        <v>110</v>
      </c>
      <c r="B59" s="1" t="s">
        <v>160</v>
      </c>
      <c r="C59" s="1">
        <f>VLOOKUP(Table133[[#This Row],[Code]],'Main Storage'!A:D,3,0)</f>
        <v>553</v>
      </c>
      <c r="D59" s="1">
        <f>VLOOKUP(Table133[[#This Row],[Code]],Order!A:F,6,0)</f>
        <v>11</v>
      </c>
      <c r="E59" s="11"/>
      <c r="F59" s="1">
        <f>Table133[[#This Row],[Box]]-Table133[[#This Row],[Order]]</f>
        <v>11</v>
      </c>
    </row>
    <row r="60" spans="1:6" x14ac:dyDescent="0.25">
      <c r="A60" s="1" t="s">
        <v>111</v>
      </c>
      <c r="B60" s="1" t="s">
        <v>161</v>
      </c>
      <c r="C60" s="1">
        <f>VLOOKUP(Table133[[#This Row],[Code]],'Main Storage'!A:D,3,0)</f>
        <v>130</v>
      </c>
      <c r="D60" s="1">
        <f>VLOOKUP(Table133[[#This Row],[Code]],Order!A:F,6,0)</f>
        <v>2</v>
      </c>
      <c r="E60" s="11"/>
      <c r="F60" s="1">
        <f>Table133[[#This Row],[Box]]-Table133[[#This Row],[Order]]</f>
        <v>2</v>
      </c>
    </row>
    <row r="61" spans="1:6" x14ac:dyDescent="0.25">
      <c r="A61" s="1" t="s">
        <v>112</v>
      </c>
      <c r="B61" s="1" t="s">
        <v>162</v>
      </c>
      <c r="C61" s="1">
        <f>VLOOKUP(Table133[[#This Row],[Code]],'Main Storage'!A:D,3,0)</f>
        <v>890</v>
      </c>
      <c r="D61" s="1">
        <f>VLOOKUP(Table133[[#This Row],[Code]],Order!A:F,6,0)</f>
        <v>18</v>
      </c>
      <c r="E61" s="11"/>
      <c r="F61" s="1">
        <f>Table133[[#This Row],[Box]]-Table133[[#This Row],[Order]]</f>
        <v>18</v>
      </c>
    </row>
    <row r="62" spans="1:6" x14ac:dyDescent="0.25">
      <c r="A62" s="1" t="s">
        <v>113</v>
      </c>
      <c r="B62" s="1" t="s">
        <v>163</v>
      </c>
      <c r="C62" s="1">
        <f>VLOOKUP(Table133[[#This Row],[Code]],'Main Storage'!A:D,3,0)</f>
        <v>255</v>
      </c>
      <c r="D62" s="1">
        <f>VLOOKUP(Table133[[#This Row],[Code]],Order!A:F,6,0)</f>
        <v>5</v>
      </c>
      <c r="E62" s="11"/>
      <c r="F62" s="1">
        <f>Table133[[#This Row],[Box]]-Table133[[#This Row],[Order]]</f>
        <v>5</v>
      </c>
    </row>
    <row r="63" spans="1:6" x14ac:dyDescent="0.25">
      <c r="A63" s="1" t="s">
        <v>114</v>
      </c>
      <c r="B63" s="1" t="s">
        <v>164</v>
      </c>
      <c r="C63" s="1">
        <f>VLOOKUP(Table133[[#This Row],[Code]],'Main Storage'!A:D,3,0)</f>
        <v>1368</v>
      </c>
      <c r="D63" s="1">
        <f>VLOOKUP(Table133[[#This Row],[Code]],Order!A:F,6,0)</f>
        <v>28</v>
      </c>
      <c r="E63" s="11"/>
      <c r="F63" s="1">
        <f>Table133[[#This Row],[Box]]-Table133[[#This Row],[Order]]</f>
        <v>28</v>
      </c>
    </row>
    <row r="64" spans="1:6" x14ac:dyDescent="0.25">
      <c r="A64" s="1" t="s">
        <v>115</v>
      </c>
      <c r="B64" s="1" t="s">
        <v>165</v>
      </c>
      <c r="C64" s="1">
        <f>VLOOKUP(Table133[[#This Row],[Code]],'Main Storage'!A:D,3,0)</f>
        <v>324</v>
      </c>
      <c r="D64" s="1">
        <f>VLOOKUP(Table133[[#This Row],[Code]],Order!A:F,6,0)</f>
        <v>6</v>
      </c>
      <c r="E64" s="11"/>
      <c r="F64" s="1">
        <f>Table133[[#This Row],[Box]]-Table133[[#This Row],[Order]]</f>
        <v>6</v>
      </c>
    </row>
    <row r="65" spans="1:6" x14ac:dyDescent="0.25">
      <c r="A65" s="1" t="s">
        <v>116</v>
      </c>
      <c r="B65" s="1" t="s">
        <v>166</v>
      </c>
      <c r="C65" s="1">
        <f>VLOOKUP(Table133[[#This Row],[Code]],'Main Storage'!A:D,3,0)</f>
        <v>997</v>
      </c>
      <c r="D65" s="1">
        <f>VLOOKUP(Table133[[#This Row],[Code]],Order!A:F,6,0)</f>
        <v>20</v>
      </c>
      <c r="E65" s="11"/>
      <c r="F65" s="1">
        <f>Table133[[#This Row],[Box]]-Table133[[#This Row],[Order]]</f>
        <v>20</v>
      </c>
    </row>
    <row r="66" spans="1:6" x14ac:dyDescent="0.25">
      <c r="A66" s="1" t="s">
        <v>117</v>
      </c>
      <c r="B66" s="1" t="s">
        <v>167</v>
      </c>
      <c r="C66" s="1">
        <f>VLOOKUP(Table133[[#This Row],[Code]],'Main Storage'!A:D,3,0)</f>
        <v>87</v>
      </c>
      <c r="D66" s="1">
        <f>VLOOKUP(Table133[[#This Row],[Code]],Order!A:F,6,0)</f>
        <v>1</v>
      </c>
      <c r="E66" s="11"/>
      <c r="F66" s="1">
        <f>Table133[[#This Row],[Box]]-Table133[[#This Row],[Order]]</f>
        <v>1</v>
      </c>
    </row>
    <row r="67" spans="1:6" x14ac:dyDescent="0.25">
      <c r="A67" s="1" t="s">
        <v>118</v>
      </c>
      <c r="B67" s="1" t="s">
        <v>168</v>
      </c>
      <c r="C67" s="1">
        <f>VLOOKUP(Table133[[#This Row],[Code]],'Main Storage'!A:D,3,0)</f>
        <v>1436</v>
      </c>
      <c r="D67" s="1">
        <f>VLOOKUP(Table133[[#This Row],[Code]],Order!A:F,6,0)</f>
        <v>29</v>
      </c>
      <c r="E67" s="11"/>
      <c r="F67" s="1">
        <f>Table133[[#This Row],[Box]]-Table133[[#This Row],[Order]]</f>
        <v>29</v>
      </c>
    </row>
    <row r="68" spans="1:6" x14ac:dyDescent="0.25">
      <c r="A68" s="1" t="s">
        <v>119</v>
      </c>
      <c r="B68" s="1" t="s">
        <v>169</v>
      </c>
      <c r="C68" s="1">
        <f>VLOOKUP(Table133[[#This Row],[Code]],'Main Storage'!A:D,3,0)</f>
        <v>1007</v>
      </c>
      <c r="D68" s="1">
        <f>VLOOKUP(Table133[[#This Row],[Code]],Order!A:F,6,0)</f>
        <v>20</v>
      </c>
      <c r="E68" s="11"/>
      <c r="F68" s="1">
        <f>Table133[[#This Row],[Box]]-Table133[[#This Row],[Order]]</f>
        <v>20</v>
      </c>
    </row>
    <row r="69" spans="1:6" x14ac:dyDescent="0.25">
      <c r="A69" s="1" t="s">
        <v>120</v>
      </c>
      <c r="B69" s="1" t="s">
        <v>170</v>
      </c>
      <c r="C69" s="1">
        <f>VLOOKUP(Table133[[#This Row],[Code]],'Main Storage'!A:D,3,0)</f>
        <v>904</v>
      </c>
      <c r="D69" s="1">
        <f>VLOOKUP(Table133[[#This Row],[Code]],Order!A:F,6,0)</f>
        <v>18</v>
      </c>
      <c r="E69" s="11"/>
      <c r="F69" s="1">
        <f>Table133[[#This Row],[Box]]-Table133[[#This Row],[Order]]</f>
        <v>18</v>
      </c>
    </row>
    <row r="70" spans="1:6" x14ac:dyDescent="0.25">
      <c r="A70" s="1" t="s">
        <v>121</v>
      </c>
      <c r="B70" s="1" t="s">
        <v>171</v>
      </c>
      <c r="C70" s="1">
        <f>VLOOKUP(Table133[[#This Row],[Code]],'Main Storage'!A:D,3,0)</f>
        <v>432</v>
      </c>
      <c r="D70" s="1">
        <f>VLOOKUP(Table133[[#This Row],[Code]],Order!A:F,6,0)</f>
        <v>9</v>
      </c>
      <c r="E70" s="11"/>
      <c r="F70" s="1">
        <f>Table133[[#This Row],[Box]]-Table133[[#This Row],[Order]]</f>
        <v>9</v>
      </c>
    </row>
    <row r="71" spans="1:6" x14ac:dyDescent="0.25">
      <c r="A71" s="1" t="s">
        <v>122</v>
      </c>
      <c r="B71" s="1" t="s">
        <v>172</v>
      </c>
      <c r="C71" s="1">
        <f>VLOOKUP(Table133[[#This Row],[Code]],'Main Storage'!A:D,3,0)</f>
        <v>515</v>
      </c>
      <c r="D71" s="1">
        <f>VLOOKUP(Table133[[#This Row],[Code]],Order!A:F,6,0)</f>
        <v>10</v>
      </c>
      <c r="E71" s="11"/>
      <c r="F71" s="1">
        <f>Table133[[#This Row],[Box]]-Table133[[#This Row],[Order]]</f>
        <v>10</v>
      </c>
    </row>
    <row r="72" spans="1:6" x14ac:dyDescent="0.25">
      <c r="A72" s="1" t="s">
        <v>123</v>
      </c>
      <c r="B72" s="1" t="s">
        <v>173</v>
      </c>
      <c r="C72" s="1">
        <f>VLOOKUP(Table133[[#This Row],[Code]],'Main Storage'!A:D,3,0)</f>
        <v>928</v>
      </c>
      <c r="D72" s="1">
        <f>VLOOKUP(Table133[[#This Row],[Code]],Order!A:F,6,0)</f>
        <v>19</v>
      </c>
      <c r="E72" s="11"/>
      <c r="F72" s="1">
        <f>Table133[[#This Row],[Box]]-Table133[[#This Row],[Order]]</f>
        <v>19</v>
      </c>
    </row>
    <row r="73" spans="1:6" x14ac:dyDescent="0.25">
      <c r="A73" s="1" t="s">
        <v>124</v>
      </c>
      <c r="B73" s="1" t="s">
        <v>174</v>
      </c>
      <c r="C73" s="1">
        <f>VLOOKUP(Table133[[#This Row],[Code]],'Main Storage'!A:D,3,0)</f>
        <v>565</v>
      </c>
      <c r="D73" s="1">
        <f>VLOOKUP(Table133[[#This Row],[Code]],Order!A:F,6,0)</f>
        <v>11</v>
      </c>
      <c r="E73" s="11"/>
      <c r="F73" s="1">
        <f>Table133[[#This Row],[Box]]-Table133[[#This Row],[Order]]</f>
        <v>11</v>
      </c>
    </row>
    <row r="74" spans="1:6" x14ac:dyDescent="0.25">
      <c r="A74" s="1" t="s">
        <v>125</v>
      </c>
      <c r="B74" s="1" t="s">
        <v>175</v>
      </c>
      <c r="C74" s="1">
        <f>VLOOKUP(Table133[[#This Row],[Code]],'Main Storage'!A:D,3,0)</f>
        <v>286</v>
      </c>
      <c r="D74" s="1">
        <f>VLOOKUP(Table133[[#This Row],[Code]],Order!A:F,6,0)</f>
        <v>5</v>
      </c>
      <c r="E74" s="11"/>
      <c r="F74" s="1">
        <f>Table133[[#This Row],[Box]]-Table133[[#This Row],[Order]]</f>
        <v>5</v>
      </c>
    </row>
    <row r="75" spans="1:6" x14ac:dyDescent="0.25">
      <c r="A75" s="1" t="s">
        <v>126</v>
      </c>
      <c r="B75" s="1" t="s">
        <v>176</v>
      </c>
      <c r="C75" s="1">
        <f>VLOOKUP(Table133[[#This Row],[Code]],'Main Storage'!A:D,3,0)</f>
        <v>931</v>
      </c>
      <c r="D75" s="1">
        <f>VLOOKUP(Table133[[#This Row],[Code]],Order!A:F,6,0)</f>
        <v>19</v>
      </c>
      <c r="E75" s="11"/>
      <c r="F75" s="1">
        <f>Table133[[#This Row],[Box]]-Table133[[#This Row],[Order]]</f>
        <v>19</v>
      </c>
    </row>
    <row r="76" spans="1:6" x14ac:dyDescent="0.25">
      <c r="A76" s="1" t="s">
        <v>127</v>
      </c>
      <c r="B76" s="1" t="s">
        <v>177</v>
      </c>
      <c r="C76" s="1">
        <f>VLOOKUP(Table133[[#This Row],[Code]],'Main Storage'!A:D,3,0)</f>
        <v>1045</v>
      </c>
      <c r="D76" s="1">
        <f>VLOOKUP(Table133[[#This Row],[Code]],Order!A:F,6,0)</f>
        <v>21</v>
      </c>
      <c r="E76" s="11"/>
      <c r="F76" s="1">
        <f>Table133[[#This Row],[Box]]-Table133[[#This Row],[Order]]</f>
        <v>21</v>
      </c>
    </row>
    <row r="77" spans="1:6" x14ac:dyDescent="0.25">
      <c r="A77" s="1" t="s">
        <v>128</v>
      </c>
      <c r="B77" s="1" t="s">
        <v>178</v>
      </c>
      <c r="C77" s="1">
        <f>VLOOKUP(Table133[[#This Row],[Code]],'Main Storage'!A:D,3,0)</f>
        <v>1180</v>
      </c>
      <c r="D77" s="1">
        <f>VLOOKUP(Table133[[#This Row],[Code]],Order!A:F,6,0)</f>
        <v>24</v>
      </c>
      <c r="E77" s="11"/>
      <c r="F77" s="1">
        <f>Table133[[#This Row],[Box]]-Table133[[#This Row],[Order]]</f>
        <v>24</v>
      </c>
    </row>
    <row r="78" spans="1:6" x14ac:dyDescent="0.25">
      <c r="A78" s="1" t="s">
        <v>129</v>
      </c>
      <c r="B78" s="1" t="s">
        <v>179</v>
      </c>
      <c r="C78" s="1">
        <f>VLOOKUP(Table133[[#This Row],[Code]],'Main Storage'!A:D,3,0)</f>
        <v>804</v>
      </c>
      <c r="D78" s="1">
        <f>VLOOKUP(Table133[[#This Row],[Code]],Order!A:F,6,0)</f>
        <v>16</v>
      </c>
      <c r="E78" s="11"/>
      <c r="F78" s="1">
        <f>Table133[[#This Row],[Box]]-Table133[[#This Row],[Order]]</f>
        <v>16</v>
      </c>
    </row>
    <row r="79" spans="1:6" x14ac:dyDescent="0.25">
      <c r="A79" s="1" t="s">
        <v>130</v>
      </c>
      <c r="B79" s="1" t="s">
        <v>180</v>
      </c>
      <c r="C79" s="1">
        <f>VLOOKUP(Table133[[#This Row],[Code]],'Main Storage'!A:D,3,0)</f>
        <v>428</v>
      </c>
      <c r="D79" s="1">
        <f>VLOOKUP(Table133[[#This Row],[Code]],Order!A:F,6,0)</f>
        <v>8</v>
      </c>
      <c r="E79" s="11"/>
      <c r="F79" s="1">
        <f>Table133[[#This Row],[Box]]-Table133[[#This Row],[Order]]</f>
        <v>8</v>
      </c>
    </row>
    <row r="80" spans="1:6" x14ac:dyDescent="0.25">
      <c r="A80" s="1" t="s">
        <v>131</v>
      </c>
      <c r="B80" s="1" t="s">
        <v>181</v>
      </c>
      <c r="C80" s="1">
        <f>VLOOKUP(Table133[[#This Row],[Code]],'Main Storage'!A:D,3,0)</f>
        <v>657</v>
      </c>
      <c r="D80" s="1">
        <f>VLOOKUP(Table133[[#This Row],[Code]],Order!A:F,6,0)</f>
        <v>13</v>
      </c>
      <c r="E80" s="11"/>
      <c r="F80" s="1">
        <f>Table133[[#This Row],[Box]]-Table133[[#This Row],[Order]]</f>
        <v>13</v>
      </c>
    </row>
    <row r="81" spans="1:6" x14ac:dyDescent="0.25">
      <c r="A81" s="1" t="s">
        <v>132</v>
      </c>
      <c r="B81" s="1" t="s">
        <v>182</v>
      </c>
      <c r="C81" s="1">
        <f>VLOOKUP(Table133[[#This Row],[Code]],'Main Storage'!A:D,3,0)</f>
        <v>1289</v>
      </c>
      <c r="D81" s="1">
        <f>VLOOKUP(Table133[[#This Row],[Code]],Order!A:F,6,0)</f>
        <v>26</v>
      </c>
      <c r="E81" s="11"/>
      <c r="F81" s="1">
        <f>Table133[[#This Row],[Box]]-Table133[[#This Row],[Order]]</f>
        <v>26</v>
      </c>
    </row>
    <row r="82" spans="1:6" x14ac:dyDescent="0.25">
      <c r="A82" s="1" t="s">
        <v>133</v>
      </c>
      <c r="B82" s="1" t="s">
        <v>183</v>
      </c>
      <c r="C82" s="1">
        <f>VLOOKUP(Table133[[#This Row],[Code]],'Main Storage'!A:D,3,0)</f>
        <v>1227</v>
      </c>
      <c r="D82" s="1">
        <f>VLOOKUP(Table133[[#This Row],[Code]],Order!A:F,6,0)</f>
        <v>25</v>
      </c>
      <c r="E82" s="11"/>
      <c r="F82" s="1">
        <f>Table133[[#This Row],[Box]]-Table133[[#This Row],[Order]]</f>
        <v>25</v>
      </c>
    </row>
    <row r="83" spans="1:6" x14ac:dyDescent="0.25">
      <c r="A83" s="1" t="s">
        <v>134</v>
      </c>
      <c r="B83" s="1" t="s">
        <v>184</v>
      </c>
      <c r="C83" s="1">
        <f>VLOOKUP(Table133[[#This Row],[Code]],'Main Storage'!A:D,3,0)</f>
        <v>1376</v>
      </c>
      <c r="D83" s="1">
        <f>VLOOKUP(Table133[[#This Row],[Code]],Order!A:F,6,0)</f>
        <v>28</v>
      </c>
      <c r="E83" s="11"/>
      <c r="F83" s="1">
        <f>Table133[[#This Row],[Box]]-Table133[[#This Row],[Order]]</f>
        <v>28</v>
      </c>
    </row>
    <row r="84" spans="1:6" x14ac:dyDescent="0.25">
      <c r="A84" s="1" t="s">
        <v>135</v>
      </c>
      <c r="B84" s="1" t="s">
        <v>185</v>
      </c>
      <c r="C84" s="1">
        <f>VLOOKUP(Table133[[#This Row],[Code]],'Main Storage'!A:D,3,0)</f>
        <v>436</v>
      </c>
      <c r="D84" s="1">
        <f>VLOOKUP(Table133[[#This Row],[Code]],Order!A:F,6,0)</f>
        <v>9</v>
      </c>
      <c r="E84" s="11"/>
      <c r="F84" s="1">
        <f>Table133[[#This Row],[Box]]-Table133[[#This Row],[Order]]</f>
        <v>9</v>
      </c>
    </row>
    <row r="85" spans="1:6" x14ac:dyDescent="0.25">
      <c r="A85" s="1" t="s">
        <v>136</v>
      </c>
      <c r="B85" s="1" t="s">
        <v>186</v>
      </c>
      <c r="C85" s="1">
        <f>VLOOKUP(Table133[[#This Row],[Code]],'Main Storage'!A:D,3,0)</f>
        <v>1340</v>
      </c>
      <c r="D85" s="1">
        <f>VLOOKUP(Table133[[#This Row],[Code]],Order!A:F,6,0)</f>
        <v>27</v>
      </c>
      <c r="E85" s="11"/>
      <c r="F85" s="1">
        <f>Table133[[#This Row],[Box]]-Table133[[#This Row],[Order]]</f>
        <v>27</v>
      </c>
    </row>
    <row r="86" spans="1:6" x14ac:dyDescent="0.25">
      <c r="A86" s="1" t="s">
        <v>137</v>
      </c>
      <c r="B86" s="1" t="s">
        <v>187</v>
      </c>
      <c r="C86" s="1">
        <f>VLOOKUP(Table133[[#This Row],[Code]],'Main Storage'!A:D,3,0)</f>
        <v>1218</v>
      </c>
      <c r="D86" s="1">
        <f>VLOOKUP(Table133[[#This Row],[Code]],Order!A:F,6,0)</f>
        <v>25</v>
      </c>
      <c r="E86" s="11"/>
      <c r="F86" s="1">
        <f>Table133[[#This Row],[Box]]-Table133[[#This Row],[Order]]</f>
        <v>25</v>
      </c>
    </row>
    <row r="87" spans="1:6" x14ac:dyDescent="0.25">
      <c r="A87" s="1" t="s">
        <v>138</v>
      </c>
      <c r="B87" s="1" t="s">
        <v>188</v>
      </c>
      <c r="C87" s="1">
        <f>VLOOKUP(Table133[[#This Row],[Code]],'Main Storage'!A:D,3,0)</f>
        <v>848</v>
      </c>
      <c r="D87" s="1">
        <f>VLOOKUP(Table133[[#This Row],[Code]],Order!A:F,6,0)</f>
        <v>17</v>
      </c>
      <c r="E87" s="11"/>
      <c r="F87" s="1">
        <f>Table133[[#This Row],[Box]]-Table133[[#This Row],[Order]]</f>
        <v>17</v>
      </c>
    </row>
    <row r="88" spans="1:6" x14ac:dyDescent="0.25">
      <c r="A88" s="1" t="s">
        <v>139</v>
      </c>
      <c r="B88" s="1" t="s">
        <v>189</v>
      </c>
      <c r="C88" s="1">
        <f>VLOOKUP(Table133[[#This Row],[Code]],'Main Storage'!A:D,3,0)</f>
        <v>1490</v>
      </c>
      <c r="D88" s="1">
        <f>VLOOKUP(Table133[[#This Row],[Code]],Order!A:F,6,0)</f>
        <v>31</v>
      </c>
      <c r="E88" s="11"/>
      <c r="F88" s="1">
        <f>Table133[[#This Row],[Box]]-Table133[[#This Row],[Order]]</f>
        <v>31</v>
      </c>
    </row>
    <row r="89" spans="1:6" x14ac:dyDescent="0.25">
      <c r="A89" s="1" t="s">
        <v>140</v>
      </c>
      <c r="B89" s="1" t="s">
        <v>190</v>
      </c>
      <c r="C89" s="1">
        <f>VLOOKUP(Table133[[#This Row],[Code]],'Main Storage'!A:D,3,0)</f>
        <v>1162</v>
      </c>
      <c r="D89" s="1">
        <f>VLOOKUP(Table133[[#This Row],[Code]],Order!A:F,6,0)</f>
        <v>24</v>
      </c>
      <c r="E89" s="11"/>
      <c r="F89" s="1">
        <f>Table133[[#This Row],[Box]]-Table133[[#This Row],[Order]]</f>
        <v>24</v>
      </c>
    </row>
    <row r="90" spans="1:6" x14ac:dyDescent="0.25">
      <c r="A90" s="1" t="s">
        <v>141</v>
      </c>
      <c r="B90" s="1" t="s">
        <v>191</v>
      </c>
      <c r="C90" s="1">
        <f>VLOOKUP(Table133[[#This Row],[Code]],'Main Storage'!A:D,3,0)</f>
        <v>431</v>
      </c>
      <c r="D90" s="1">
        <f>VLOOKUP(Table133[[#This Row],[Code]],Order!A:F,6,0)</f>
        <v>8</v>
      </c>
      <c r="E90" s="11"/>
      <c r="F90" s="1">
        <f>Table133[[#This Row],[Box]]-Table133[[#This Row],[Order]]</f>
        <v>8</v>
      </c>
    </row>
    <row r="91" spans="1:6" x14ac:dyDescent="0.25">
      <c r="A91" s="1" t="s">
        <v>142</v>
      </c>
      <c r="B91" s="1" t="s">
        <v>192</v>
      </c>
      <c r="C91" s="1">
        <f>VLOOKUP(Table133[[#This Row],[Code]],'Main Storage'!A:D,3,0)</f>
        <v>496</v>
      </c>
      <c r="D91" s="1">
        <f>VLOOKUP(Table133[[#This Row],[Code]],Order!A:F,6,0)</f>
        <v>10</v>
      </c>
      <c r="E91" s="11"/>
      <c r="F91" s="1">
        <f>Table133[[#This Row],[Box]]-Table133[[#This Row],[Order]]</f>
        <v>10</v>
      </c>
    </row>
    <row r="92" spans="1:6" x14ac:dyDescent="0.25">
      <c r="A92" s="1" t="s">
        <v>143</v>
      </c>
      <c r="B92" s="1" t="s">
        <v>193</v>
      </c>
      <c r="C92" s="1">
        <f>VLOOKUP(Table133[[#This Row],[Code]],'Main Storage'!A:D,3,0)</f>
        <v>1340</v>
      </c>
      <c r="D92" s="1">
        <f>VLOOKUP(Table133[[#This Row],[Code]],Order!A:F,6,0)</f>
        <v>27</v>
      </c>
      <c r="E92" s="11"/>
      <c r="F92" s="1">
        <f>Table133[[#This Row],[Box]]-Table133[[#This Row],[Order]]</f>
        <v>27</v>
      </c>
    </row>
    <row r="93" spans="1:6" x14ac:dyDescent="0.25">
      <c r="A93" s="1" t="s">
        <v>144</v>
      </c>
      <c r="B93" s="1" t="s">
        <v>194</v>
      </c>
      <c r="C93" s="1">
        <f>VLOOKUP(Table133[[#This Row],[Code]],'Main Storage'!A:D,3,0)</f>
        <v>175</v>
      </c>
      <c r="D93" s="1">
        <f>VLOOKUP(Table133[[#This Row],[Code]],Order!A:F,6,0)</f>
        <v>3</v>
      </c>
      <c r="E93" s="11"/>
      <c r="F93" s="1">
        <f>Table133[[#This Row],[Box]]-Table133[[#This Row],[Order]]</f>
        <v>3</v>
      </c>
    </row>
    <row r="94" spans="1:6" x14ac:dyDescent="0.25">
      <c r="A94" s="1" t="s">
        <v>145</v>
      </c>
      <c r="B94" s="1" t="s">
        <v>195</v>
      </c>
      <c r="C94" s="1">
        <f>VLOOKUP(Table133[[#This Row],[Code]],'Main Storage'!A:D,3,0)</f>
        <v>1164</v>
      </c>
      <c r="D94" s="1">
        <f>VLOOKUP(Table133[[#This Row],[Code]],Order!A:F,6,0)</f>
        <v>24</v>
      </c>
      <c r="E94" s="11"/>
      <c r="F94" s="1">
        <f>Table133[[#This Row],[Box]]-Table133[[#This Row],[Order]]</f>
        <v>24</v>
      </c>
    </row>
    <row r="95" spans="1:6" x14ac:dyDescent="0.25">
      <c r="A95" s="1" t="s">
        <v>146</v>
      </c>
      <c r="B95" s="1" t="s">
        <v>196</v>
      </c>
      <c r="C95" s="1">
        <f>VLOOKUP(Table133[[#This Row],[Code]],'Main Storage'!A:D,3,0)</f>
        <v>610</v>
      </c>
      <c r="D95" s="1">
        <f>VLOOKUP(Table133[[#This Row],[Code]],Order!A:F,6,0)</f>
        <v>12</v>
      </c>
      <c r="E95" s="11"/>
      <c r="F95" s="1">
        <f>Table133[[#This Row],[Box]]-Table133[[#This Row],[Order]]</f>
        <v>12</v>
      </c>
    </row>
    <row r="96" spans="1:6" x14ac:dyDescent="0.25">
      <c r="A96" s="1" t="s">
        <v>147</v>
      </c>
      <c r="B96" s="1" t="s">
        <v>197</v>
      </c>
      <c r="C96" s="1">
        <f>VLOOKUP(Table133[[#This Row],[Code]],'Main Storage'!A:D,3,0)</f>
        <v>26</v>
      </c>
      <c r="D96" s="1">
        <f>VLOOKUP(Table133[[#This Row],[Code]],Order!A:F,6,0)</f>
        <v>0</v>
      </c>
      <c r="E96" s="11"/>
      <c r="F96" s="1">
        <f>Table133[[#This Row],[Box]]-Table133[[#This Row],[Order]]</f>
        <v>0</v>
      </c>
    </row>
    <row r="97" spans="1:6" x14ac:dyDescent="0.25">
      <c r="A97" s="1" t="s">
        <v>148</v>
      </c>
      <c r="B97" s="1" t="s">
        <v>198</v>
      </c>
      <c r="C97" s="1">
        <f>VLOOKUP(Table133[[#This Row],[Code]],'Main Storage'!A:D,3,0)</f>
        <v>122</v>
      </c>
      <c r="D97" s="1">
        <f>VLOOKUP(Table133[[#This Row],[Code]],Order!A:F,6,0)</f>
        <v>2</v>
      </c>
      <c r="E97" s="11"/>
      <c r="F97" s="1">
        <f>Table133[[#This Row],[Box]]-Table133[[#This Row],[Order]]</f>
        <v>2</v>
      </c>
    </row>
    <row r="98" spans="1:6" x14ac:dyDescent="0.25">
      <c r="A98" s="1" t="s">
        <v>149</v>
      </c>
      <c r="B98" s="1" t="s">
        <v>199</v>
      </c>
      <c r="C98" s="1">
        <f>VLOOKUP(Table133[[#This Row],[Code]],'Main Storage'!A:D,3,0)</f>
        <v>154</v>
      </c>
      <c r="D98" s="1">
        <f>VLOOKUP(Table133[[#This Row],[Code]],Order!A:F,6,0)</f>
        <v>3</v>
      </c>
      <c r="E98" s="11"/>
      <c r="F98" s="1">
        <f>Table133[[#This Row],[Box]]-Table133[[#This Row],[Order]]</f>
        <v>3</v>
      </c>
    </row>
    <row r="99" spans="1:6" x14ac:dyDescent="0.25">
      <c r="A99" s="1" t="s">
        <v>150</v>
      </c>
      <c r="B99" s="1" t="s">
        <v>200</v>
      </c>
      <c r="C99" s="1">
        <f>VLOOKUP(Table133[[#This Row],[Code]],'Main Storage'!A:D,3,0)</f>
        <v>1050</v>
      </c>
      <c r="D99" s="1">
        <f>VLOOKUP(Table133[[#This Row],[Code]],Order!A:F,6,0)</f>
        <v>21</v>
      </c>
      <c r="E99" s="11"/>
      <c r="F99" s="1">
        <f>Table133[[#This Row],[Box]]-Table133[[#This Row],[Order]]</f>
        <v>21</v>
      </c>
    </row>
    <row r="100" spans="1:6" x14ac:dyDescent="0.25">
      <c r="A100" s="1" t="s">
        <v>151</v>
      </c>
      <c r="B100" s="1" t="s">
        <v>201</v>
      </c>
      <c r="C100" s="1">
        <f>VLOOKUP(Table133[[#This Row],[Code]],'Main Storage'!A:D,3,0)</f>
        <v>1337</v>
      </c>
      <c r="D100" s="1">
        <f>VLOOKUP(Table133[[#This Row],[Code]],Order!A:F,6,0)</f>
        <v>27</v>
      </c>
      <c r="E100" s="11"/>
      <c r="F100" s="1">
        <f>Table133[[#This Row],[Box]]-Table133[[#This Row],[Order]]</f>
        <v>27</v>
      </c>
    </row>
    <row r="101" spans="1:6" x14ac:dyDescent="0.25">
      <c r="A101" s="1" t="s">
        <v>204</v>
      </c>
      <c r="B101" s="1" t="s">
        <v>205</v>
      </c>
      <c r="C101" s="1">
        <f>VLOOKUP(Table133[[#This Row],[Code]],'Main Storage'!A:D,3,0)</f>
        <v>330</v>
      </c>
      <c r="D101" s="1">
        <f>VLOOKUP(Table133[[#This Row],[Code]],Order!A:F,6,0)</f>
        <v>2</v>
      </c>
      <c r="E101" s="11"/>
      <c r="F101" s="1">
        <f>Table133[[#This Row],[Box]]-Table133[[#This Row],[Order]]</f>
        <v>2</v>
      </c>
    </row>
    <row r="102" spans="1:6" x14ac:dyDescent="0.25">
      <c r="A102" s="1" t="s">
        <v>206</v>
      </c>
      <c r="B102" s="1" t="s">
        <v>207</v>
      </c>
      <c r="C102" s="1">
        <f>VLOOKUP(Table133[[#This Row],[Code]],'Main Storage'!A:D,3,0)</f>
        <v>737</v>
      </c>
      <c r="D102" s="1">
        <f>VLOOKUP(Table133[[#This Row],[Code]],Order!A:F,6,0)</f>
        <v>6</v>
      </c>
      <c r="E102" s="11"/>
      <c r="F102" s="1">
        <f>Table133[[#This Row],[Box]]-Table133[[#This Row],[Order]]</f>
        <v>6</v>
      </c>
    </row>
    <row r="103" spans="1:6" x14ac:dyDescent="0.25">
      <c r="A103" s="1" t="s">
        <v>208</v>
      </c>
      <c r="B103" s="1" t="s">
        <v>209</v>
      </c>
      <c r="C103" s="1">
        <f>VLOOKUP(Table133[[#This Row],[Code]],'Main Storage'!A:D,3,0)</f>
        <v>811</v>
      </c>
      <c r="D103" s="1">
        <f>VLOOKUP(Table133[[#This Row],[Code]],Order!A:F,6,0)</f>
        <v>6</v>
      </c>
      <c r="E103" s="11"/>
      <c r="F103" s="1">
        <f>Table133[[#This Row],[Box]]-Table133[[#This Row],[Order]]</f>
        <v>6</v>
      </c>
    </row>
    <row r="104" spans="1:6" x14ac:dyDescent="0.25">
      <c r="A104" s="1" t="s">
        <v>210</v>
      </c>
      <c r="B104" s="1" t="s">
        <v>211</v>
      </c>
      <c r="C104" s="1">
        <f>VLOOKUP(Table133[[#This Row],[Code]],'Main Storage'!A:D,3,0)</f>
        <v>533</v>
      </c>
      <c r="D104" s="1">
        <f>VLOOKUP(Table133[[#This Row],[Code]],Order!A:F,6,0)</f>
        <v>4</v>
      </c>
      <c r="E104" s="11"/>
      <c r="F104" s="1">
        <f>Table133[[#This Row],[Box]]-Table133[[#This Row],[Order]]</f>
        <v>4</v>
      </c>
    </row>
    <row r="105" spans="1:6" x14ac:dyDescent="0.25">
      <c r="A105" s="1" t="s">
        <v>212</v>
      </c>
      <c r="B105" s="1" t="s">
        <v>213</v>
      </c>
      <c r="C105" s="1">
        <f>VLOOKUP(Table133[[#This Row],[Code]],'Main Storage'!A:D,3,0)</f>
        <v>1484</v>
      </c>
      <c r="D105" s="1">
        <f>VLOOKUP(Table133[[#This Row],[Code]],Order!A:F,6,0)</f>
        <v>12</v>
      </c>
      <c r="E105" s="11"/>
      <c r="F105" s="1">
        <f>Table133[[#This Row],[Box]]-Table133[[#This Row],[Order]]</f>
        <v>12</v>
      </c>
    </row>
    <row r="106" spans="1:6" x14ac:dyDescent="0.25">
      <c r="A106" s="1" t="s">
        <v>214</v>
      </c>
      <c r="B106" s="1" t="s">
        <v>215</v>
      </c>
      <c r="C106" s="1">
        <f>VLOOKUP(Table133[[#This Row],[Code]],'Main Storage'!A:D,3,0)</f>
        <v>521</v>
      </c>
      <c r="D106" s="1">
        <f>VLOOKUP(Table133[[#This Row],[Code]],Order!A:F,6,0)</f>
        <v>4</v>
      </c>
      <c r="E106" s="11"/>
      <c r="F106" s="1">
        <f>Table133[[#This Row],[Box]]-Table133[[#This Row],[Order]]</f>
        <v>4</v>
      </c>
    </row>
    <row r="107" spans="1:6" x14ac:dyDescent="0.25">
      <c r="A107" s="1" t="s">
        <v>216</v>
      </c>
      <c r="B107" s="1" t="s">
        <v>217</v>
      </c>
      <c r="C107" s="1">
        <f>VLOOKUP(Table133[[#This Row],[Code]],'Main Storage'!A:D,3,0)</f>
        <v>240</v>
      </c>
      <c r="D107" s="1">
        <f>VLOOKUP(Table133[[#This Row],[Code]],Order!A:F,6,0)</f>
        <v>2</v>
      </c>
      <c r="E107" s="11"/>
      <c r="F107" s="1">
        <f>Table133[[#This Row],[Box]]-Table133[[#This Row],[Order]]</f>
        <v>2</v>
      </c>
    </row>
    <row r="108" spans="1:6" x14ac:dyDescent="0.25">
      <c r="A108" s="1" t="s">
        <v>218</v>
      </c>
      <c r="B108" s="1" t="s">
        <v>219</v>
      </c>
      <c r="C108" s="1">
        <f>VLOOKUP(Table133[[#This Row],[Code]],'Main Storage'!A:D,3,0)</f>
        <v>946</v>
      </c>
      <c r="D108" s="1">
        <f>VLOOKUP(Table133[[#This Row],[Code]],Order!A:F,6,0)</f>
        <v>7</v>
      </c>
      <c r="E108" s="11"/>
      <c r="F108" s="1">
        <f>Table133[[#This Row],[Box]]-Table133[[#This Row],[Order]]</f>
        <v>7</v>
      </c>
    </row>
    <row r="109" spans="1:6" x14ac:dyDescent="0.25">
      <c r="A109" s="1" t="s">
        <v>220</v>
      </c>
      <c r="B109" s="1" t="s">
        <v>221</v>
      </c>
      <c r="C109" s="1">
        <f>VLOOKUP(Table133[[#This Row],[Code]],'Main Storage'!A:D,3,0)</f>
        <v>1447</v>
      </c>
      <c r="D109" s="1">
        <f>VLOOKUP(Table133[[#This Row],[Code]],Order!A:F,6,0)</f>
        <v>12</v>
      </c>
      <c r="E109" s="11"/>
      <c r="F109" s="1">
        <f>Table133[[#This Row],[Box]]-Table133[[#This Row],[Order]]</f>
        <v>12</v>
      </c>
    </row>
    <row r="110" spans="1:6" x14ac:dyDescent="0.25">
      <c r="A110" s="1" t="s">
        <v>222</v>
      </c>
      <c r="B110" s="1" t="s">
        <v>223</v>
      </c>
      <c r="C110" s="1">
        <f>VLOOKUP(Table133[[#This Row],[Code]],'Main Storage'!A:D,3,0)</f>
        <v>489</v>
      </c>
      <c r="D110" s="1">
        <f>VLOOKUP(Table133[[#This Row],[Code]],Order!A:F,6,0)</f>
        <v>4</v>
      </c>
      <c r="E110" s="11"/>
      <c r="F110" s="1">
        <f>Table133[[#This Row],[Box]]-Table133[[#This Row],[Order]]</f>
        <v>4</v>
      </c>
    </row>
    <row r="111" spans="1:6" x14ac:dyDescent="0.25">
      <c r="A111" s="1" t="s">
        <v>224</v>
      </c>
      <c r="B111" s="1" t="s">
        <v>225</v>
      </c>
      <c r="C111" s="1">
        <f>VLOOKUP(Table133[[#This Row],[Code]],'Main Storage'!A:D,3,0)</f>
        <v>641</v>
      </c>
      <c r="D111" s="1">
        <f>VLOOKUP(Table133[[#This Row],[Code]],Order!A:F,6,0)</f>
        <v>5</v>
      </c>
      <c r="E111" s="11"/>
      <c r="F111" s="1">
        <f>Table133[[#This Row],[Box]]-Table133[[#This Row],[Order]]</f>
        <v>5</v>
      </c>
    </row>
    <row r="112" spans="1:6" x14ac:dyDescent="0.25">
      <c r="A112" s="1" t="s">
        <v>226</v>
      </c>
      <c r="B112" s="1" t="s">
        <v>227</v>
      </c>
      <c r="C112" s="1">
        <f>VLOOKUP(Table133[[#This Row],[Code]],'Main Storage'!A:D,3,0)</f>
        <v>790</v>
      </c>
      <c r="D112" s="1">
        <f>VLOOKUP(Table133[[#This Row],[Code]],Order!A:F,6,0)</f>
        <v>6</v>
      </c>
      <c r="E112" s="11"/>
      <c r="F112" s="1">
        <f>Table133[[#This Row],[Box]]-Table133[[#This Row],[Order]]</f>
        <v>6</v>
      </c>
    </row>
    <row r="113" spans="1:6" x14ac:dyDescent="0.25">
      <c r="A113" s="1" t="s">
        <v>228</v>
      </c>
      <c r="B113" s="1" t="s">
        <v>229</v>
      </c>
      <c r="C113" s="1">
        <f>VLOOKUP(Table133[[#This Row],[Code]],'Main Storage'!A:D,3,0)</f>
        <v>1153</v>
      </c>
      <c r="D113" s="1">
        <f>VLOOKUP(Table133[[#This Row],[Code]],Order!A:F,6,0)</f>
        <v>9</v>
      </c>
      <c r="E113" s="11"/>
      <c r="F113" s="1">
        <f>Table133[[#This Row],[Box]]-Table133[[#This Row],[Order]]</f>
        <v>9</v>
      </c>
    </row>
    <row r="114" spans="1:6" x14ac:dyDescent="0.25">
      <c r="A114" s="1" t="s">
        <v>230</v>
      </c>
      <c r="B114" s="1" t="s">
        <v>231</v>
      </c>
      <c r="C114" s="1">
        <f>VLOOKUP(Table133[[#This Row],[Code]],'Main Storage'!A:D,3,0)</f>
        <v>983</v>
      </c>
      <c r="D114" s="1">
        <f>VLOOKUP(Table133[[#This Row],[Code]],Order!A:F,6,0)</f>
        <v>8</v>
      </c>
      <c r="E114" s="11"/>
      <c r="F114" s="1">
        <f>Table133[[#This Row],[Box]]-Table133[[#This Row],[Order]]</f>
        <v>8</v>
      </c>
    </row>
    <row r="115" spans="1:6" x14ac:dyDescent="0.25">
      <c r="A115" s="1" t="s">
        <v>232</v>
      </c>
      <c r="B115" s="1" t="s">
        <v>233</v>
      </c>
      <c r="C115" s="1">
        <f>VLOOKUP(Table133[[#This Row],[Code]],'Main Storage'!A:D,3,0)</f>
        <v>853</v>
      </c>
      <c r="D115" s="1">
        <f>VLOOKUP(Table133[[#This Row],[Code]],Order!A:F,6,0)</f>
        <v>7</v>
      </c>
      <c r="E115" s="11"/>
      <c r="F115" s="1">
        <f>Table133[[#This Row],[Box]]-Table133[[#This Row],[Order]]</f>
        <v>7</v>
      </c>
    </row>
    <row r="116" spans="1:6" x14ac:dyDescent="0.25">
      <c r="A116" s="1" t="s">
        <v>234</v>
      </c>
      <c r="B116" s="1" t="s">
        <v>235</v>
      </c>
      <c r="C116" s="1">
        <f>VLOOKUP(Table133[[#This Row],[Code]],'Main Storage'!A:D,3,0)</f>
        <v>356</v>
      </c>
      <c r="D116" s="1">
        <f>VLOOKUP(Table133[[#This Row],[Code]],Order!A:F,6,0)</f>
        <v>2</v>
      </c>
      <c r="E116" s="11"/>
      <c r="F116" s="1">
        <f>Table133[[#This Row],[Box]]-Table133[[#This Row],[Order]]</f>
        <v>2</v>
      </c>
    </row>
    <row r="117" spans="1:6" x14ac:dyDescent="0.25">
      <c r="A117" s="1" t="s">
        <v>236</v>
      </c>
      <c r="B117" s="1" t="s">
        <v>237</v>
      </c>
      <c r="C117" s="1">
        <f>VLOOKUP(Table133[[#This Row],[Code]],'Main Storage'!A:D,3,0)</f>
        <v>556</v>
      </c>
      <c r="D117" s="1">
        <f>VLOOKUP(Table133[[#This Row],[Code]],Order!A:F,6,0)</f>
        <v>4</v>
      </c>
      <c r="E117" s="11"/>
      <c r="F117" s="1">
        <f>Table133[[#This Row],[Box]]-Table133[[#This Row],[Order]]</f>
        <v>4</v>
      </c>
    </row>
    <row r="118" spans="1:6" x14ac:dyDescent="0.25">
      <c r="A118" s="1" t="s">
        <v>238</v>
      </c>
      <c r="B118" s="1" t="s">
        <v>239</v>
      </c>
      <c r="C118" s="1">
        <f>VLOOKUP(Table133[[#This Row],[Code]],'Main Storage'!A:D,3,0)</f>
        <v>768</v>
      </c>
      <c r="D118" s="1">
        <f>VLOOKUP(Table133[[#This Row],[Code]],Order!A:F,6,0)</f>
        <v>6</v>
      </c>
      <c r="E118" s="11"/>
      <c r="F118" s="1">
        <f>Table133[[#This Row],[Box]]-Table133[[#This Row],[Order]]</f>
        <v>6</v>
      </c>
    </row>
    <row r="119" spans="1:6" x14ac:dyDescent="0.25">
      <c r="A119" s="1" t="s">
        <v>240</v>
      </c>
      <c r="B119" s="1" t="s">
        <v>241</v>
      </c>
      <c r="C119" s="1">
        <f>VLOOKUP(Table133[[#This Row],[Code]],'Main Storage'!A:D,3,0)</f>
        <v>582</v>
      </c>
      <c r="D119" s="1">
        <f>VLOOKUP(Table133[[#This Row],[Code]],Order!A:F,6,0)</f>
        <v>4</v>
      </c>
      <c r="E119" s="11"/>
      <c r="F119" s="1">
        <f>Table133[[#This Row],[Box]]-Table133[[#This Row],[Order]]</f>
        <v>4</v>
      </c>
    </row>
    <row r="120" spans="1:6" x14ac:dyDescent="0.25">
      <c r="A120" s="1" t="s">
        <v>242</v>
      </c>
      <c r="B120" s="1" t="s">
        <v>243</v>
      </c>
      <c r="C120" s="1">
        <f>VLOOKUP(Table133[[#This Row],[Code]],'Main Storage'!A:D,3,0)</f>
        <v>467</v>
      </c>
      <c r="D120" s="1">
        <f>VLOOKUP(Table133[[#This Row],[Code]],Order!A:F,6,0)</f>
        <v>3</v>
      </c>
      <c r="E120" s="11"/>
      <c r="F120" s="1">
        <f>Table133[[#This Row],[Box]]-Table133[[#This Row],[Order]]</f>
        <v>3</v>
      </c>
    </row>
    <row r="121" spans="1:6" x14ac:dyDescent="0.25">
      <c r="A121" s="1" t="s">
        <v>244</v>
      </c>
      <c r="B121" s="1" t="s">
        <v>245</v>
      </c>
      <c r="C121" s="1">
        <f>VLOOKUP(Table133[[#This Row],[Code]],'Main Storage'!A:D,3,0)</f>
        <v>47</v>
      </c>
      <c r="D121" s="1">
        <f>VLOOKUP(Table133[[#This Row],[Code]],Order!A:F,6,0)</f>
        <v>0</v>
      </c>
      <c r="E121" s="11"/>
      <c r="F121" s="1">
        <f>Table133[[#This Row],[Box]]-Table133[[#This Row],[Order]]</f>
        <v>0</v>
      </c>
    </row>
    <row r="122" spans="1:6" x14ac:dyDescent="0.25">
      <c r="A122" s="1" t="s">
        <v>246</v>
      </c>
      <c r="B122" s="1" t="s">
        <v>247</v>
      </c>
      <c r="C122" s="1">
        <f>VLOOKUP(Table133[[#This Row],[Code]],'Main Storage'!A:D,3,0)</f>
        <v>463</v>
      </c>
      <c r="D122" s="1">
        <f>VLOOKUP(Table133[[#This Row],[Code]],Order!A:F,6,0)</f>
        <v>3</v>
      </c>
      <c r="E122" s="11"/>
      <c r="F122" s="1">
        <f>Table133[[#This Row],[Box]]-Table133[[#This Row],[Order]]</f>
        <v>3</v>
      </c>
    </row>
    <row r="123" spans="1:6" x14ac:dyDescent="0.25">
      <c r="A123" s="1" t="s">
        <v>248</v>
      </c>
      <c r="B123" s="1" t="s">
        <v>249</v>
      </c>
      <c r="C123" s="1">
        <f>VLOOKUP(Table133[[#This Row],[Code]],'Main Storage'!A:D,3,0)</f>
        <v>1434</v>
      </c>
      <c r="D123" s="1">
        <f>VLOOKUP(Table133[[#This Row],[Code]],Order!A:F,6,0)</f>
        <v>11</v>
      </c>
      <c r="E123" s="11"/>
      <c r="F123" s="1">
        <f>Table133[[#This Row],[Box]]-Table133[[#This Row],[Order]]</f>
        <v>11</v>
      </c>
    </row>
    <row r="124" spans="1:6" x14ac:dyDescent="0.25">
      <c r="A124" s="1" t="s">
        <v>250</v>
      </c>
      <c r="B124" s="1" t="s">
        <v>251</v>
      </c>
      <c r="C124" s="1">
        <f>VLOOKUP(Table133[[#This Row],[Code]],'Main Storage'!A:D,3,0)</f>
        <v>399</v>
      </c>
      <c r="D124" s="1">
        <f>VLOOKUP(Table133[[#This Row],[Code]],Order!A:F,6,0)</f>
        <v>3</v>
      </c>
      <c r="E124" s="11"/>
      <c r="F124" s="1">
        <f>Table133[[#This Row],[Box]]-Table133[[#This Row],[Order]]</f>
        <v>3</v>
      </c>
    </row>
    <row r="125" spans="1:6" x14ac:dyDescent="0.25">
      <c r="A125" s="1" t="s">
        <v>252</v>
      </c>
      <c r="B125" s="1" t="s">
        <v>253</v>
      </c>
      <c r="C125" s="1">
        <f>VLOOKUP(Table133[[#This Row],[Code]],'Main Storage'!A:D,3,0)</f>
        <v>910</v>
      </c>
      <c r="D125" s="1">
        <f>VLOOKUP(Table133[[#This Row],[Code]],Order!A:F,6,0)</f>
        <v>7</v>
      </c>
      <c r="E125" s="11"/>
      <c r="F125" s="1">
        <f>Table133[[#This Row],[Box]]-Table133[[#This Row],[Order]]</f>
        <v>7</v>
      </c>
    </row>
    <row r="126" spans="1:6" x14ac:dyDescent="0.25">
      <c r="A126" s="1" t="s">
        <v>254</v>
      </c>
      <c r="B126" s="1" t="s">
        <v>255</v>
      </c>
      <c r="C126" s="1">
        <f>VLOOKUP(Table133[[#This Row],[Code]],'Main Storage'!A:D,3,0)</f>
        <v>710</v>
      </c>
      <c r="D126" s="1">
        <f>VLOOKUP(Table133[[#This Row],[Code]],Order!A:F,6,0)</f>
        <v>5</v>
      </c>
      <c r="E126" s="11"/>
      <c r="F126" s="1">
        <f>Table133[[#This Row],[Box]]-Table133[[#This Row],[Order]]</f>
        <v>5</v>
      </c>
    </row>
    <row r="127" spans="1:6" x14ac:dyDescent="0.25">
      <c r="A127" s="1" t="s">
        <v>256</v>
      </c>
      <c r="B127" s="1" t="s">
        <v>257</v>
      </c>
      <c r="C127" s="1">
        <f>VLOOKUP(Table133[[#This Row],[Code]],'Main Storage'!A:D,3,0)</f>
        <v>977</v>
      </c>
      <c r="D127" s="1">
        <f>VLOOKUP(Table133[[#This Row],[Code]],Order!A:F,6,0)</f>
        <v>8</v>
      </c>
      <c r="E127" s="11"/>
      <c r="F127" s="1">
        <f>Table133[[#This Row],[Box]]-Table133[[#This Row],[Order]]</f>
        <v>8</v>
      </c>
    </row>
    <row r="128" spans="1:6" x14ac:dyDescent="0.25">
      <c r="A128" s="1" t="s">
        <v>258</v>
      </c>
      <c r="B128" s="1" t="s">
        <v>259</v>
      </c>
      <c r="C128" s="1">
        <f>VLOOKUP(Table133[[#This Row],[Code]],'Main Storage'!A:D,3,0)</f>
        <v>592</v>
      </c>
      <c r="D128" s="1">
        <f>VLOOKUP(Table133[[#This Row],[Code]],Order!A:F,6,0)</f>
        <v>4</v>
      </c>
      <c r="E128" s="11"/>
      <c r="F128" s="1">
        <f>Table133[[#This Row],[Box]]-Table133[[#This Row],[Order]]</f>
        <v>4</v>
      </c>
    </row>
    <row r="129" spans="1:6" x14ac:dyDescent="0.25">
      <c r="A129" s="1" t="s">
        <v>260</v>
      </c>
      <c r="B129" s="1" t="s">
        <v>261</v>
      </c>
      <c r="C129" s="1">
        <f>VLOOKUP(Table133[[#This Row],[Code]],'Main Storage'!A:D,3,0)</f>
        <v>576</v>
      </c>
      <c r="D129" s="1">
        <f>VLOOKUP(Table133[[#This Row],[Code]],Order!A:F,6,0)</f>
        <v>4</v>
      </c>
      <c r="E129" s="11"/>
      <c r="F129" s="1">
        <f>Table133[[#This Row],[Box]]-Table133[[#This Row],[Order]]</f>
        <v>4</v>
      </c>
    </row>
    <row r="130" spans="1:6" x14ac:dyDescent="0.25">
      <c r="A130" s="1" t="s">
        <v>262</v>
      </c>
      <c r="B130" s="1" t="s">
        <v>263</v>
      </c>
      <c r="C130" s="1">
        <f>VLOOKUP(Table133[[#This Row],[Code]],'Main Storage'!A:D,3,0)</f>
        <v>565</v>
      </c>
      <c r="D130" s="1">
        <f>VLOOKUP(Table133[[#This Row],[Code]],Order!A:F,6,0)</f>
        <v>4</v>
      </c>
      <c r="E130" s="11"/>
      <c r="F130" s="1">
        <f>Table133[[#This Row],[Box]]-Table133[[#This Row],[Order]]</f>
        <v>4</v>
      </c>
    </row>
    <row r="131" spans="1:6" x14ac:dyDescent="0.25">
      <c r="A131" s="1" t="s">
        <v>264</v>
      </c>
      <c r="B131" s="1" t="s">
        <v>265</v>
      </c>
      <c r="C131" s="1">
        <f>VLOOKUP(Table133[[#This Row],[Code]],'Main Storage'!A:D,3,0)</f>
        <v>931</v>
      </c>
      <c r="D131" s="1">
        <f>VLOOKUP(Table133[[#This Row],[Code]],Order!A:F,6,0)</f>
        <v>7</v>
      </c>
      <c r="E131" s="11"/>
      <c r="F131" s="1">
        <f>Table133[[#This Row],[Box]]-Table133[[#This Row],[Order]]</f>
        <v>7</v>
      </c>
    </row>
    <row r="132" spans="1:6" x14ac:dyDescent="0.25">
      <c r="A132" s="1" t="s">
        <v>266</v>
      </c>
      <c r="B132" s="1" t="s">
        <v>267</v>
      </c>
      <c r="C132" s="1">
        <f>VLOOKUP(Table133[[#This Row],[Code]],'Main Storage'!A:D,3,0)</f>
        <v>791</v>
      </c>
      <c r="D132" s="1">
        <f>VLOOKUP(Table133[[#This Row],[Code]],Order!A:F,6,0)</f>
        <v>6</v>
      </c>
      <c r="E132" s="11"/>
      <c r="F132" s="1">
        <f>Table133[[#This Row],[Box]]-Table133[[#This Row],[Order]]</f>
        <v>6</v>
      </c>
    </row>
    <row r="133" spans="1:6" x14ac:dyDescent="0.25">
      <c r="A133" s="1" t="s">
        <v>268</v>
      </c>
      <c r="B133" s="1" t="s">
        <v>269</v>
      </c>
      <c r="C133" s="1">
        <f>VLOOKUP(Table133[[#This Row],[Code]],'Main Storage'!A:D,3,0)</f>
        <v>274</v>
      </c>
      <c r="D133" s="1">
        <f>VLOOKUP(Table133[[#This Row],[Code]],Order!A:F,6,0)</f>
        <v>2</v>
      </c>
      <c r="E133" s="11"/>
      <c r="F133" s="1">
        <f>Table133[[#This Row],[Box]]-Table133[[#This Row],[Order]]</f>
        <v>2</v>
      </c>
    </row>
    <row r="134" spans="1:6" x14ac:dyDescent="0.25">
      <c r="A134" s="1" t="s">
        <v>270</v>
      </c>
      <c r="B134" s="1" t="s">
        <v>271</v>
      </c>
      <c r="C134" s="1">
        <f>VLOOKUP(Table133[[#This Row],[Code]],'Main Storage'!A:D,3,0)</f>
        <v>640</v>
      </c>
      <c r="D134" s="1">
        <f>VLOOKUP(Table133[[#This Row],[Code]],Order!A:F,6,0)</f>
        <v>5</v>
      </c>
      <c r="E134" s="11"/>
      <c r="F134" s="1">
        <f>Table133[[#This Row],[Box]]-Table133[[#This Row],[Order]]</f>
        <v>5</v>
      </c>
    </row>
    <row r="135" spans="1:6" x14ac:dyDescent="0.25">
      <c r="A135" s="1" t="s">
        <v>272</v>
      </c>
      <c r="B135" s="1" t="s">
        <v>273</v>
      </c>
      <c r="C135" s="1">
        <f>VLOOKUP(Table133[[#This Row],[Code]],'Main Storage'!A:D,3,0)</f>
        <v>1239</v>
      </c>
      <c r="D135" s="1">
        <f>VLOOKUP(Table133[[#This Row],[Code]],Order!A:F,6,0)</f>
        <v>10</v>
      </c>
      <c r="E135" s="11"/>
      <c r="F135" s="1">
        <f>Table133[[#This Row],[Box]]-Table133[[#This Row],[Order]]</f>
        <v>10</v>
      </c>
    </row>
    <row r="136" spans="1:6" x14ac:dyDescent="0.25">
      <c r="A136" s="1" t="s">
        <v>274</v>
      </c>
      <c r="B136" s="1" t="s">
        <v>275</v>
      </c>
      <c r="C136" s="1">
        <f>VLOOKUP(Table133[[#This Row],[Code]],'Main Storage'!A:D,3,0)</f>
        <v>359</v>
      </c>
      <c r="D136" s="1">
        <f>VLOOKUP(Table133[[#This Row],[Code]],Order!A:F,6,0)</f>
        <v>2</v>
      </c>
      <c r="E136" s="11"/>
      <c r="F136" s="1">
        <f>Table133[[#This Row],[Box]]-Table133[[#This Row],[Order]]</f>
        <v>2</v>
      </c>
    </row>
    <row r="137" spans="1:6" x14ac:dyDescent="0.25">
      <c r="A137" s="1" t="s">
        <v>276</v>
      </c>
      <c r="B137" s="1" t="s">
        <v>277</v>
      </c>
      <c r="C137" s="1">
        <f>VLOOKUP(Table133[[#This Row],[Code]],'Main Storage'!A:D,3,0)</f>
        <v>495</v>
      </c>
      <c r="D137" s="1">
        <f>VLOOKUP(Table133[[#This Row],[Code]],Order!A:F,6,0)</f>
        <v>4</v>
      </c>
      <c r="E137" s="11"/>
      <c r="F137" s="1">
        <f>Table133[[#This Row],[Box]]-Table133[[#This Row],[Order]]</f>
        <v>4</v>
      </c>
    </row>
    <row r="138" spans="1:6" x14ac:dyDescent="0.25">
      <c r="A138" s="1" t="s">
        <v>278</v>
      </c>
      <c r="B138" s="1" t="s">
        <v>279</v>
      </c>
      <c r="C138" s="1">
        <f>VLOOKUP(Table133[[#This Row],[Code]],'Main Storage'!A:D,3,0)</f>
        <v>481</v>
      </c>
      <c r="D138" s="1">
        <f>VLOOKUP(Table133[[#This Row],[Code]],Order!A:F,6,0)</f>
        <v>4</v>
      </c>
      <c r="E138" s="11"/>
      <c r="F138" s="1">
        <f>Table133[[#This Row],[Box]]-Table133[[#This Row],[Order]]</f>
        <v>4</v>
      </c>
    </row>
    <row r="139" spans="1:6" x14ac:dyDescent="0.25">
      <c r="A139" s="1" t="s">
        <v>280</v>
      </c>
      <c r="B139" s="1" t="s">
        <v>281</v>
      </c>
      <c r="C139" s="1">
        <f>VLOOKUP(Table133[[#This Row],[Code]],'Main Storage'!A:D,3,0)</f>
        <v>872</v>
      </c>
      <c r="D139" s="1">
        <f>VLOOKUP(Table133[[#This Row],[Code]],Order!A:F,6,0)</f>
        <v>7</v>
      </c>
      <c r="E139" s="11"/>
      <c r="F139" s="1">
        <f>Table133[[#This Row],[Box]]-Table133[[#This Row],[Order]]</f>
        <v>7</v>
      </c>
    </row>
    <row r="140" spans="1:6" x14ac:dyDescent="0.25">
      <c r="A140" s="1" t="s">
        <v>282</v>
      </c>
      <c r="B140" s="1" t="s">
        <v>283</v>
      </c>
      <c r="C140" s="1">
        <f>VLOOKUP(Table133[[#This Row],[Code]],'Main Storage'!A:D,3,0)</f>
        <v>864</v>
      </c>
      <c r="D140" s="1">
        <f>VLOOKUP(Table133[[#This Row],[Code]],Order!A:F,6,0)</f>
        <v>7</v>
      </c>
      <c r="E140" s="11"/>
      <c r="F140" s="1">
        <f>Table133[[#This Row],[Box]]-Table133[[#This Row],[Order]]</f>
        <v>7</v>
      </c>
    </row>
    <row r="141" spans="1:6" x14ac:dyDescent="0.25">
      <c r="A141" s="1" t="s">
        <v>284</v>
      </c>
      <c r="B141" s="1" t="s">
        <v>285</v>
      </c>
      <c r="C141" s="1">
        <f>VLOOKUP(Table133[[#This Row],[Code]],'Main Storage'!A:D,3,0)</f>
        <v>1498</v>
      </c>
      <c r="D141" s="1">
        <f>VLOOKUP(Table133[[#This Row],[Code]],Order!A:F,6,0)</f>
        <v>12</v>
      </c>
      <c r="E141" s="11"/>
      <c r="F141" s="1">
        <f>Table133[[#This Row],[Box]]-Table133[[#This Row],[Order]]</f>
        <v>12</v>
      </c>
    </row>
    <row r="142" spans="1:6" x14ac:dyDescent="0.25">
      <c r="A142" s="1" t="s">
        <v>286</v>
      </c>
      <c r="B142" s="1" t="s">
        <v>287</v>
      </c>
      <c r="C142" s="1">
        <f>VLOOKUP(Table133[[#This Row],[Code]],'Main Storage'!A:D,3,0)</f>
        <v>254</v>
      </c>
      <c r="D142" s="1">
        <f>VLOOKUP(Table133[[#This Row],[Code]],Order!A:F,6,0)</f>
        <v>2</v>
      </c>
      <c r="E142" s="11"/>
      <c r="F142" s="1">
        <f>Table133[[#This Row],[Box]]-Table133[[#This Row],[Order]]</f>
        <v>2</v>
      </c>
    </row>
    <row r="143" spans="1:6" x14ac:dyDescent="0.25">
      <c r="A143" s="1" t="s">
        <v>288</v>
      </c>
      <c r="B143" s="1" t="s">
        <v>289</v>
      </c>
      <c r="C143" s="1">
        <f>VLOOKUP(Table133[[#This Row],[Code]],'Main Storage'!A:D,3,0)</f>
        <v>145</v>
      </c>
      <c r="D143" s="1">
        <f>VLOOKUP(Table133[[#This Row],[Code]],Order!A:F,6,0)</f>
        <v>1</v>
      </c>
      <c r="E143" s="11"/>
      <c r="F143" s="1">
        <f>Table133[[#This Row],[Box]]-Table133[[#This Row],[Order]]</f>
        <v>1</v>
      </c>
    </row>
    <row r="144" spans="1:6" x14ac:dyDescent="0.25">
      <c r="A144" s="1" t="s">
        <v>290</v>
      </c>
      <c r="B144" s="1" t="s">
        <v>291</v>
      </c>
      <c r="C144" s="1">
        <f>VLOOKUP(Table133[[#This Row],[Code]],'Main Storage'!A:D,3,0)</f>
        <v>193</v>
      </c>
      <c r="D144" s="1">
        <f>VLOOKUP(Table133[[#This Row],[Code]],Order!A:F,6,0)</f>
        <v>1</v>
      </c>
      <c r="E144" s="11"/>
      <c r="F144" s="1">
        <f>Table133[[#This Row],[Box]]-Table133[[#This Row],[Order]]</f>
        <v>1</v>
      </c>
    </row>
    <row r="145" spans="1:6" x14ac:dyDescent="0.25">
      <c r="A145" s="1" t="s">
        <v>292</v>
      </c>
      <c r="B145" s="1" t="s">
        <v>293</v>
      </c>
      <c r="C145" s="1">
        <f>VLOOKUP(Table133[[#This Row],[Code]],'Main Storage'!A:D,3,0)</f>
        <v>1478</v>
      </c>
      <c r="D145" s="1">
        <f>VLOOKUP(Table133[[#This Row],[Code]],Order!A:F,6,0)</f>
        <v>12</v>
      </c>
      <c r="E145" s="11"/>
      <c r="F145" s="1">
        <f>Table133[[#This Row],[Box]]-Table133[[#This Row],[Order]]</f>
        <v>12</v>
      </c>
    </row>
    <row r="146" spans="1:6" x14ac:dyDescent="0.25">
      <c r="A146" s="1" t="s">
        <v>294</v>
      </c>
      <c r="B146" s="1" t="s">
        <v>295</v>
      </c>
      <c r="C146" s="1">
        <f>VLOOKUP(Table133[[#This Row],[Code]],'Main Storage'!A:D,3,0)</f>
        <v>958</v>
      </c>
      <c r="D146" s="1">
        <f>VLOOKUP(Table133[[#This Row],[Code]],Order!A:F,6,0)</f>
        <v>7</v>
      </c>
      <c r="E146" s="11"/>
      <c r="F146" s="1">
        <f>Table133[[#This Row],[Box]]-Table133[[#This Row],[Order]]</f>
        <v>7</v>
      </c>
    </row>
    <row r="147" spans="1:6" x14ac:dyDescent="0.25">
      <c r="A147" s="1" t="s">
        <v>296</v>
      </c>
      <c r="B147" s="1" t="s">
        <v>297</v>
      </c>
      <c r="C147" s="1">
        <f>VLOOKUP(Table133[[#This Row],[Code]],'Main Storage'!A:D,3,0)</f>
        <v>1327</v>
      </c>
      <c r="D147" s="1">
        <f>VLOOKUP(Table133[[#This Row],[Code]],Order!A:F,6,0)</f>
        <v>11</v>
      </c>
      <c r="E147" s="11"/>
      <c r="F147" s="1">
        <f>Table133[[#This Row],[Box]]-Table133[[#This Row],[Order]]</f>
        <v>11</v>
      </c>
    </row>
    <row r="148" spans="1:6" x14ac:dyDescent="0.25">
      <c r="A148" s="1" t="s">
        <v>298</v>
      </c>
      <c r="B148" s="1" t="s">
        <v>299</v>
      </c>
      <c r="C148" s="1">
        <f>VLOOKUP(Table133[[#This Row],[Code]],'Main Storage'!A:D,3,0)</f>
        <v>1297</v>
      </c>
      <c r="D148" s="1">
        <f>VLOOKUP(Table133[[#This Row],[Code]],Order!A:F,6,0)</f>
        <v>10</v>
      </c>
      <c r="E148" s="11"/>
      <c r="F148" s="1">
        <f>Table133[[#This Row],[Box]]-Table133[[#This Row],[Order]]</f>
        <v>10</v>
      </c>
    </row>
    <row r="149" spans="1:6" x14ac:dyDescent="0.25">
      <c r="A149" s="1" t="s">
        <v>300</v>
      </c>
      <c r="B149" s="1" t="s">
        <v>301</v>
      </c>
      <c r="C149" s="1">
        <f>VLOOKUP(Table133[[#This Row],[Code]],'Main Storage'!A:D,3,0)</f>
        <v>284</v>
      </c>
      <c r="D149" s="1">
        <f>VLOOKUP(Table133[[#This Row],[Code]],Order!A:F,6,0)</f>
        <v>2</v>
      </c>
      <c r="E149" s="11"/>
      <c r="F149" s="1">
        <f>Table133[[#This Row],[Box]]-Table133[[#This Row],[Order]]</f>
        <v>2</v>
      </c>
    </row>
    <row r="150" spans="1:6" x14ac:dyDescent="0.25">
      <c r="A150" s="1" t="s">
        <v>302</v>
      </c>
      <c r="B150" s="1" t="s">
        <v>303</v>
      </c>
      <c r="C150" s="1">
        <f>VLOOKUP(Table133[[#This Row],[Code]],'Main Storage'!A:D,3,0)</f>
        <v>177</v>
      </c>
      <c r="D150" s="1">
        <f>VLOOKUP(Table133[[#This Row],[Code]],Order!A:F,6,0)</f>
        <v>1</v>
      </c>
      <c r="E150" s="11"/>
      <c r="F150" s="1">
        <f>Table133[[#This Row],[Box]]-Table133[[#This Row],[Order]]</f>
        <v>1</v>
      </c>
    </row>
    <row r="151" spans="1:6" x14ac:dyDescent="0.25">
      <c r="A151" s="1" t="s">
        <v>304</v>
      </c>
      <c r="B151" s="1" t="s">
        <v>305</v>
      </c>
      <c r="C151" s="1">
        <f>VLOOKUP(Table133[[#This Row],[Code]],'Main Storage'!A:D,3,0)</f>
        <v>1288</v>
      </c>
      <c r="D151" s="1">
        <f>VLOOKUP(Table133[[#This Row],[Code]],Order!A:F,6,0)</f>
        <v>10</v>
      </c>
      <c r="E151" s="11"/>
      <c r="F151" s="1">
        <f>Table133[[#This Row],[Box]]-Table133[[#This Row],[Order]]</f>
        <v>10</v>
      </c>
    </row>
    <row r="152" spans="1:6" x14ac:dyDescent="0.25">
      <c r="A152" s="1" t="s">
        <v>306</v>
      </c>
      <c r="B152" s="1" t="s">
        <v>307</v>
      </c>
      <c r="C152" s="1">
        <f>VLOOKUP(Table133[[#This Row],[Code]],'Main Storage'!A:D,3,0)</f>
        <v>1050</v>
      </c>
      <c r="D152" s="1">
        <f>VLOOKUP(Table133[[#This Row],[Code]],Order!A:F,6,0)</f>
        <v>8</v>
      </c>
      <c r="E152" s="11"/>
      <c r="F152" s="1">
        <f>Table133[[#This Row],[Box]]-Table133[[#This Row],[Order]]</f>
        <v>8</v>
      </c>
    </row>
    <row r="153" spans="1:6" x14ac:dyDescent="0.25">
      <c r="A153" s="1" t="s">
        <v>308</v>
      </c>
      <c r="B153" s="1" t="s">
        <v>309</v>
      </c>
      <c r="C153" s="1">
        <f>VLOOKUP(Table133[[#This Row],[Code]],'Main Storage'!A:D,3,0)</f>
        <v>686</v>
      </c>
      <c r="D153" s="1">
        <f>VLOOKUP(Table133[[#This Row],[Code]],Order!A:F,6,0)</f>
        <v>5</v>
      </c>
      <c r="E153" s="11"/>
      <c r="F153" s="1">
        <f>Table133[[#This Row],[Box]]-Table133[[#This Row],[Order]]</f>
        <v>5</v>
      </c>
    </row>
    <row r="154" spans="1:6" x14ac:dyDescent="0.25">
      <c r="A154" s="1" t="s">
        <v>310</v>
      </c>
      <c r="B154" s="1" t="s">
        <v>311</v>
      </c>
      <c r="C154" s="1">
        <f>VLOOKUP(Table133[[#This Row],[Code]],'Main Storage'!A:D,3,0)</f>
        <v>238</v>
      </c>
      <c r="D154" s="1">
        <f>VLOOKUP(Table133[[#This Row],[Code]],Order!A:F,6,0)</f>
        <v>1</v>
      </c>
      <c r="E154" s="11"/>
      <c r="F154" s="1">
        <f>Table133[[#This Row],[Box]]-Table133[[#This Row],[Order]]</f>
        <v>1</v>
      </c>
    </row>
    <row r="155" spans="1:6" x14ac:dyDescent="0.25">
      <c r="A155" s="1" t="s">
        <v>312</v>
      </c>
      <c r="B155" s="1" t="s">
        <v>313</v>
      </c>
      <c r="C155" s="1">
        <f>VLOOKUP(Table133[[#This Row],[Code]],'Main Storage'!A:D,3,0)</f>
        <v>1063</v>
      </c>
      <c r="D155" s="1">
        <f>VLOOKUP(Table133[[#This Row],[Code]],Order!A:F,6,0)</f>
        <v>8</v>
      </c>
      <c r="E155" s="11"/>
      <c r="F155" s="1">
        <f>Table133[[#This Row],[Box]]-Table133[[#This Row],[Order]]</f>
        <v>8</v>
      </c>
    </row>
    <row r="156" spans="1:6" x14ac:dyDescent="0.25">
      <c r="A156" s="1" t="s">
        <v>314</v>
      </c>
      <c r="B156" s="1" t="s">
        <v>315</v>
      </c>
      <c r="C156" s="1">
        <f>VLOOKUP(Table133[[#This Row],[Code]],'Main Storage'!A:D,3,0)</f>
        <v>508</v>
      </c>
      <c r="D156" s="1">
        <f>VLOOKUP(Table133[[#This Row],[Code]],Order!A:F,6,0)</f>
        <v>4</v>
      </c>
      <c r="E156" s="11"/>
      <c r="F156" s="1">
        <f>Table133[[#This Row],[Box]]-Table133[[#This Row],[Order]]</f>
        <v>4</v>
      </c>
    </row>
    <row r="157" spans="1:6" x14ac:dyDescent="0.25">
      <c r="A157" s="1" t="s">
        <v>316</v>
      </c>
      <c r="B157" s="1" t="s">
        <v>317</v>
      </c>
      <c r="C157" s="1">
        <f>VLOOKUP(Table133[[#This Row],[Code]],'Main Storage'!A:D,3,0)</f>
        <v>166</v>
      </c>
      <c r="D157" s="1">
        <f>VLOOKUP(Table133[[#This Row],[Code]],Order!A:F,6,0)</f>
        <v>1</v>
      </c>
      <c r="E157" s="11"/>
      <c r="F157" s="1">
        <f>Table133[[#This Row],[Box]]-Table133[[#This Row],[Order]]</f>
        <v>1</v>
      </c>
    </row>
    <row r="158" spans="1:6" x14ac:dyDescent="0.25">
      <c r="A158" s="1" t="s">
        <v>318</v>
      </c>
      <c r="B158" s="1" t="s">
        <v>319</v>
      </c>
      <c r="C158" s="1">
        <f>VLOOKUP(Table133[[#This Row],[Code]],'Main Storage'!A:D,3,0)</f>
        <v>695</v>
      </c>
      <c r="D158" s="1">
        <f>VLOOKUP(Table133[[#This Row],[Code]],Order!A:F,6,0)</f>
        <v>5</v>
      </c>
      <c r="E158" s="11"/>
      <c r="F158" s="1">
        <f>Table133[[#This Row],[Box]]-Table133[[#This Row],[Order]]</f>
        <v>5</v>
      </c>
    </row>
    <row r="159" spans="1:6" x14ac:dyDescent="0.25">
      <c r="A159" s="1" t="s">
        <v>320</v>
      </c>
      <c r="B159" s="1" t="s">
        <v>321</v>
      </c>
      <c r="C159" s="1">
        <f>VLOOKUP(Table133[[#This Row],[Code]],'Main Storage'!A:D,3,0)</f>
        <v>1209</v>
      </c>
      <c r="D159" s="1">
        <f>VLOOKUP(Table133[[#This Row],[Code]],Order!A:F,6,0)</f>
        <v>10</v>
      </c>
      <c r="E159" s="11"/>
      <c r="F159" s="1">
        <f>Table133[[#This Row],[Box]]-Table133[[#This Row],[Order]]</f>
        <v>10</v>
      </c>
    </row>
    <row r="160" spans="1:6" x14ac:dyDescent="0.25">
      <c r="A160" s="1" t="s">
        <v>322</v>
      </c>
      <c r="B160" s="1" t="s">
        <v>323</v>
      </c>
      <c r="C160" s="1">
        <f>VLOOKUP(Table133[[#This Row],[Code]],'Main Storage'!A:D,3,0)</f>
        <v>458</v>
      </c>
      <c r="D160" s="1">
        <f>VLOOKUP(Table133[[#This Row],[Code]],Order!A:F,6,0)</f>
        <v>3</v>
      </c>
      <c r="E160" s="11"/>
      <c r="F160" s="1">
        <f>Table133[[#This Row],[Box]]-Table133[[#This Row],[Order]]</f>
        <v>3</v>
      </c>
    </row>
    <row r="161" spans="1:6" x14ac:dyDescent="0.25">
      <c r="A161" s="1" t="s">
        <v>324</v>
      </c>
      <c r="B161" s="1" t="s">
        <v>325</v>
      </c>
      <c r="C161" s="1">
        <f>VLOOKUP(Table133[[#This Row],[Code]],'Main Storage'!A:D,3,0)</f>
        <v>557</v>
      </c>
      <c r="D161" s="1">
        <f>VLOOKUP(Table133[[#This Row],[Code]],Order!A:F,6,0)</f>
        <v>4</v>
      </c>
      <c r="E161" s="11"/>
      <c r="F161" s="1">
        <f>Table133[[#This Row],[Box]]-Table133[[#This Row],[Order]]</f>
        <v>4</v>
      </c>
    </row>
    <row r="162" spans="1:6" x14ac:dyDescent="0.25">
      <c r="A162" s="1" t="s">
        <v>326</v>
      </c>
      <c r="B162" s="1" t="s">
        <v>327</v>
      </c>
      <c r="C162" s="1">
        <f>VLOOKUP(Table133[[#This Row],[Code]],'Main Storage'!A:D,3,0)</f>
        <v>1417</v>
      </c>
      <c r="D162" s="1">
        <f>VLOOKUP(Table133[[#This Row],[Code]],Order!A:F,6,0)</f>
        <v>11</v>
      </c>
      <c r="E162" s="11"/>
      <c r="F162" s="1">
        <f>Table133[[#This Row],[Box]]-Table133[[#This Row],[Order]]</f>
        <v>11</v>
      </c>
    </row>
    <row r="163" spans="1:6" x14ac:dyDescent="0.25">
      <c r="A163" s="1" t="s">
        <v>328</v>
      </c>
      <c r="B163" s="1" t="s">
        <v>329</v>
      </c>
      <c r="C163" s="1">
        <f>VLOOKUP(Table133[[#This Row],[Code]],'Main Storage'!A:D,3,0)</f>
        <v>86</v>
      </c>
      <c r="D163" s="1">
        <f>VLOOKUP(Table133[[#This Row],[Code]],Order!A:F,6,0)</f>
        <v>0</v>
      </c>
      <c r="E163" s="11"/>
      <c r="F163" s="1">
        <f>Table133[[#This Row],[Box]]-Table133[[#This Row],[Order]]</f>
        <v>0</v>
      </c>
    </row>
    <row r="164" spans="1:6" x14ac:dyDescent="0.25">
      <c r="A164" s="1" t="s">
        <v>330</v>
      </c>
      <c r="B164" s="1" t="s">
        <v>331</v>
      </c>
      <c r="C164" s="1">
        <f>VLOOKUP(Table133[[#This Row],[Code]],'Main Storage'!A:D,3,0)</f>
        <v>531</v>
      </c>
      <c r="D164" s="1">
        <f>VLOOKUP(Table133[[#This Row],[Code]],Order!A:F,6,0)</f>
        <v>4</v>
      </c>
      <c r="E164" s="11"/>
      <c r="F164" s="1">
        <f>Table133[[#This Row],[Box]]-Table133[[#This Row],[Order]]</f>
        <v>4</v>
      </c>
    </row>
    <row r="165" spans="1:6" x14ac:dyDescent="0.25">
      <c r="A165" s="1" t="s">
        <v>332</v>
      </c>
      <c r="B165" s="1" t="s">
        <v>333</v>
      </c>
      <c r="C165" s="1">
        <f>VLOOKUP(Table133[[#This Row],[Code]],'Main Storage'!A:D,3,0)</f>
        <v>574</v>
      </c>
      <c r="D165" s="1">
        <f>VLOOKUP(Table133[[#This Row],[Code]],Order!A:F,6,0)</f>
        <v>4</v>
      </c>
      <c r="E165" s="11"/>
      <c r="F165" s="1">
        <f>Table133[[#This Row],[Box]]-Table133[[#This Row],[Order]]</f>
        <v>4</v>
      </c>
    </row>
    <row r="166" spans="1:6" x14ac:dyDescent="0.25">
      <c r="A166" s="1" t="s">
        <v>334</v>
      </c>
      <c r="B166" s="1" t="s">
        <v>335</v>
      </c>
      <c r="C166" s="1">
        <f>VLOOKUP(Table133[[#This Row],[Code]],'Main Storage'!A:D,3,0)</f>
        <v>908</v>
      </c>
      <c r="D166" s="1">
        <f>VLOOKUP(Table133[[#This Row],[Code]],Order!A:F,6,0)</f>
        <v>7</v>
      </c>
      <c r="E166" s="11"/>
      <c r="F166" s="1">
        <f>Table133[[#This Row],[Box]]-Table133[[#This Row],[Order]]</f>
        <v>7</v>
      </c>
    </row>
    <row r="167" spans="1:6" x14ac:dyDescent="0.25">
      <c r="A167" s="1" t="s">
        <v>336</v>
      </c>
      <c r="B167" s="1" t="s">
        <v>337</v>
      </c>
      <c r="C167" s="1">
        <f>VLOOKUP(Table133[[#This Row],[Code]],'Main Storage'!A:D,3,0)</f>
        <v>546</v>
      </c>
      <c r="D167" s="1">
        <f>VLOOKUP(Table133[[#This Row],[Code]],Order!A:F,6,0)</f>
        <v>4</v>
      </c>
      <c r="E167" s="11"/>
      <c r="F167" s="1">
        <f>Table133[[#This Row],[Box]]-Table133[[#This Row],[Order]]</f>
        <v>4</v>
      </c>
    </row>
    <row r="168" spans="1:6" x14ac:dyDescent="0.25">
      <c r="A168" s="1" t="s">
        <v>338</v>
      </c>
      <c r="B168" s="1" t="s">
        <v>339</v>
      </c>
      <c r="C168" s="1">
        <f>VLOOKUP(Table133[[#This Row],[Code]],'Main Storage'!A:D,3,0)</f>
        <v>537</v>
      </c>
      <c r="D168" s="1">
        <f>VLOOKUP(Table133[[#This Row],[Code]],Order!A:F,6,0)</f>
        <v>4</v>
      </c>
      <c r="E168" s="11"/>
      <c r="F168" s="1">
        <f>Table133[[#This Row],[Box]]-Table133[[#This Row],[Order]]</f>
        <v>4</v>
      </c>
    </row>
    <row r="169" spans="1:6" x14ac:dyDescent="0.25">
      <c r="A169" s="1" t="s">
        <v>340</v>
      </c>
      <c r="B169" s="1" t="s">
        <v>341</v>
      </c>
      <c r="C169" s="1">
        <f>VLOOKUP(Table133[[#This Row],[Code]],'Main Storage'!A:D,3,0)</f>
        <v>579</v>
      </c>
      <c r="D169" s="1">
        <f>VLOOKUP(Table133[[#This Row],[Code]],Order!A:F,6,0)</f>
        <v>4</v>
      </c>
      <c r="E169" s="11"/>
      <c r="F169" s="1">
        <f>Table133[[#This Row],[Box]]-Table133[[#This Row],[Order]]</f>
        <v>4</v>
      </c>
    </row>
    <row r="170" spans="1:6" x14ac:dyDescent="0.25">
      <c r="A170" s="1" t="s">
        <v>342</v>
      </c>
      <c r="B170" s="1" t="s">
        <v>343</v>
      </c>
      <c r="C170" s="1">
        <f>VLOOKUP(Table133[[#This Row],[Code]],'Main Storage'!A:D,3,0)</f>
        <v>975</v>
      </c>
      <c r="D170" s="1">
        <f>VLOOKUP(Table133[[#This Row],[Code]],Order!A:F,6,0)</f>
        <v>8</v>
      </c>
      <c r="E170" s="11"/>
      <c r="F170" s="1">
        <f>Table133[[#This Row],[Box]]-Table133[[#This Row],[Order]]</f>
        <v>8</v>
      </c>
    </row>
    <row r="171" spans="1:6" x14ac:dyDescent="0.25">
      <c r="A171" s="1" t="s">
        <v>344</v>
      </c>
      <c r="B171" s="1" t="s">
        <v>345</v>
      </c>
      <c r="C171" s="1">
        <f>VLOOKUP(Table133[[#This Row],[Code]],'Main Storage'!A:D,3,0)</f>
        <v>3</v>
      </c>
      <c r="D171" s="1">
        <f>VLOOKUP(Table133[[#This Row],[Code]],Order!A:F,6,0)</f>
        <v>0</v>
      </c>
      <c r="E171" s="11"/>
      <c r="F171" s="1">
        <f>Table133[[#This Row],[Box]]-Table133[[#This Row],[Order]]</f>
        <v>0</v>
      </c>
    </row>
    <row r="172" spans="1:6" x14ac:dyDescent="0.25">
      <c r="A172" s="1" t="s">
        <v>346</v>
      </c>
      <c r="B172" s="1" t="s">
        <v>347</v>
      </c>
      <c r="C172" s="1">
        <f>VLOOKUP(Table133[[#This Row],[Code]],'Main Storage'!A:D,3,0)</f>
        <v>677</v>
      </c>
      <c r="D172" s="1">
        <f>VLOOKUP(Table133[[#This Row],[Code]],Order!A:F,6,0)</f>
        <v>5</v>
      </c>
      <c r="E172" s="11"/>
      <c r="F172" s="1">
        <f>Table133[[#This Row],[Box]]-Table133[[#This Row],[Order]]</f>
        <v>5</v>
      </c>
    </row>
    <row r="173" spans="1:6" x14ac:dyDescent="0.25">
      <c r="A173" s="1" t="s">
        <v>348</v>
      </c>
      <c r="B173" s="1" t="s">
        <v>349</v>
      </c>
      <c r="C173" s="1">
        <f>VLOOKUP(Table133[[#This Row],[Code]],'Main Storage'!A:D,3,0)</f>
        <v>1304</v>
      </c>
      <c r="D173" s="1">
        <f>VLOOKUP(Table133[[#This Row],[Code]],Order!A:F,6,0)</f>
        <v>10</v>
      </c>
      <c r="E173" s="11"/>
      <c r="F173" s="1">
        <f>Table133[[#This Row],[Box]]-Table133[[#This Row],[Order]]</f>
        <v>10</v>
      </c>
    </row>
    <row r="174" spans="1:6" x14ac:dyDescent="0.25">
      <c r="A174" s="1" t="s">
        <v>350</v>
      </c>
      <c r="B174" s="1" t="s">
        <v>351</v>
      </c>
      <c r="C174" s="1">
        <f>VLOOKUP(Table133[[#This Row],[Code]],'Main Storage'!A:D,3,0)</f>
        <v>929</v>
      </c>
      <c r="D174" s="1">
        <f>VLOOKUP(Table133[[#This Row],[Code]],Order!A:F,6,0)</f>
        <v>7</v>
      </c>
      <c r="E174" s="11"/>
      <c r="F174" s="1">
        <f>Table133[[#This Row],[Box]]-Table133[[#This Row],[Order]]</f>
        <v>7</v>
      </c>
    </row>
    <row r="175" spans="1:6" x14ac:dyDescent="0.25">
      <c r="A175" s="1" t="s">
        <v>352</v>
      </c>
      <c r="B175" s="1" t="s">
        <v>353</v>
      </c>
      <c r="C175" s="1">
        <f>VLOOKUP(Table133[[#This Row],[Code]],'Main Storage'!A:D,3,0)</f>
        <v>615</v>
      </c>
      <c r="D175" s="1">
        <f>VLOOKUP(Table133[[#This Row],[Code]],Order!A:F,6,0)</f>
        <v>5</v>
      </c>
      <c r="E175" s="11"/>
      <c r="F175" s="1">
        <f>Table133[[#This Row],[Box]]-Table133[[#This Row],[Order]]</f>
        <v>5</v>
      </c>
    </row>
    <row r="176" spans="1:6" x14ac:dyDescent="0.25">
      <c r="A176" s="1" t="s">
        <v>354</v>
      </c>
      <c r="B176" s="1" t="s">
        <v>355</v>
      </c>
      <c r="C176" s="1">
        <f>VLOOKUP(Table133[[#This Row],[Code]],'Main Storage'!A:D,3,0)</f>
        <v>547</v>
      </c>
      <c r="D176" s="1">
        <f>VLOOKUP(Table133[[#This Row],[Code]],Order!A:F,6,0)</f>
        <v>4</v>
      </c>
      <c r="E176" s="11"/>
      <c r="F176" s="1">
        <f>Table133[[#This Row],[Box]]-Table133[[#This Row],[Order]]</f>
        <v>4</v>
      </c>
    </row>
    <row r="177" spans="1:6" x14ac:dyDescent="0.25">
      <c r="A177" s="1" t="s">
        <v>356</v>
      </c>
      <c r="B177" s="1" t="s">
        <v>357</v>
      </c>
      <c r="C177" s="1">
        <f>VLOOKUP(Table133[[#This Row],[Code]],'Main Storage'!A:D,3,0)</f>
        <v>481</v>
      </c>
      <c r="D177" s="1">
        <f>VLOOKUP(Table133[[#This Row],[Code]],Order!A:F,6,0)</f>
        <v>4</v>
      </c>
      <c r="E177" s="11"/>
      <c r="F177" s="1">
        <f>Table133[[#This Row],[Box]]-Table133[[#This Row],[Order]]</f>
        <v>4</v>
      </c>
    </row>
    <row r="178" spans="1:6" x14ac:dyDescent="0.25">
      <c r="A178" s="1" t="s">
        <v>358</v>
      </c>
      <c r="B178" s="1" t="s">
        <v>359</v>
      </c>
      <c r="C178" s="1">
        <f>VLOOKUP(Table133[[#This Row],[Code]],'Main Storage'!A:D,3,0)</f>
        <v>1371</v>
      </c>
      <c r="D178" s="1">
        <f>VLOOKUP(Table133[[#This Row],[Code]],Order!A:F,6,0)</f>
        <v>11</v>
      </c>
      <c r="E178" s="11"/>
      <c r="F178" s="1">
        <f>Table133[[#This Row],[Box]]-Table133[[#This Row],[Order]]</f>
        <v>11</v>
      </c>
    </row>
    <row r="179" spans="1:6" x14ac:dyDescent="0.25">
      <c r="A179" s="1" t="s">
        <v>360</v>
      </c>
      <c r="B179" s="1" t="s">
        <v>361</v>
      </c>
      <c r="C179" s="1">
        <f>VLOOKUP(Table133[[#This Row],[Code]],'Main Storage'!A:D,3,0)</f>
        <v>944</v>
      </c>
      <c r="D179" s="1">
        <f>VLOOKUP(Table133[[#This Row],[Code]],Order!A:F,6,0)</f>
        <v>7</v>
      </c>
      <c r="E179" s="11"/>
      <c r="F179" s="1">
        <f>Table133[[#This Row],[Box]]-Table133[[#This Row],[Order]]</f>
        <v>7</v>
      </c>
    </row>
    <row r="180" spans="1:6" x14ac:dyDescent="0.25">
      <c r="A180" s="1" t="s">
        <v>362</v>
      </c>
      <c r="B180" s="1" t="s">
        <v>363</v>
      </c>
      <c r="C180" s="1">
        <f>VLOOKUP(Table133[[#This Row],[Code]],'Main Storage'!A:D,3,0)</f>
        <v>985</v>
      </c>
      <c r="D180" s="1">
        <f>VLOOKUP(Table133[[#This Row],[Code]],Order!A:F,6,0)</f>
        <v>8</v>
      </c>
      <c r="E180" s="11"/>
      <c r="F180" s="1">
        <f>Table133[[#This Row],[Box]]-Table133[[#This Row],[Order]]</f>
        <v>8</v>
      </c>
    </row>
    <row r="181" spans="1:6" x14ac:dyDescent="0.25">
      <c r="A181" s="1" t="s">
        <v>364</v>
      </c>
      <c r="B181" s="1" t="s">
        <v>365</v>
      </c>
      <c r="C181" s="1">
        <f>VLOOKUP(Table133[[#This Row],[Code]],'Main Storage'!A:D,3,0)</f>
        <v>1374</v>
      </c>
      <c r="D181" s="1">
        <f>VLOOKUP(Table133[[#This Row],[Code]],Order!A:F,6,0)</f>
        <v>11</v>
      </c>
      <c r="E181" s="11"/>
      <c r="F181" s="1">
        <f>Table133[[#This Row],[Box]]-Table133[[#This Row],[Order]]</f>
        <v>11</v>
      </c>
    </row>
    <row r="182" spans="1:6" x14ac:dyDescent="0.25">
      <c r="A182" s="1" t="s">
        <v>366</v>
      </c>
      <c r="B182" s="1" t="s">
        <v>367</v>
      </c>
      <c r="C182" s="1">
        <f>VLOOKUP(Table133[[#This Row],[Code]],'Main Storage'!A:D,3,0)</f>
        <v>326</v>
      </c>
      <c r="D182" s="1">
        <f>VLOOKUP(Table133[[#This Row],[Code]],Order!A:F,6,0)</f>
        <v>2</v>
      </c>
      <c r="E182" s="11"/>
      <c r="F182" s="1">
        <f>Table133[[#This Row],[Box]]-Table133[[#This Row],[Order]]</f>
        <v>2</v>
      </c>
    </row>
    <row r="183" spans="1:6" x14ac:dyDescent="0.25">
      <c r="A183" s="1" t="s">
        <v>368</v>
      </c>
      <c r="B183" s="1" t="s">
        <v>369</v>
      </c>
      <c r="C183" s="1">
        <f>VLOOKUP(Table133[[#This Row],[Code]],'Main Storage'!A:D,3,0)</f>
        <v>1218</v>
      </c>
      <c r="D183" s="1">
        <f>VLOOKUP(Table133[[#This Row],[Code]],Order!A:F,6,0)</f>
        <v>10</v>
      </c>
      <c r="E183" s="11"/>
      <c r="F183" s="1">
        <f>Table133[[#This Row],[Box]]-Table133[[#This Row],[Order]]</f>
        <v>10</v>
      </c>
    </row>
    <row r="184" spans="1:6" x14ac:dyDescent="0.25">
      <c r="A184" s="1" t="s">
        <v>370</v>
      </c>
      <c r="B184" s="1" t="s">
        <v>371</v>
      </c>
      <c r="C184" s="1">
        <f>VLOOKUP(Table133[[#This Row],[Code]],'Main Storage'!A:D,3,0)</f>
        <v>1121</v>
      </c>
      <c r="D184" s="1">
        <f>VLOOKUP(Table133[[#This Row],[Code]],Order!A:F,6,0)</f>
        <v>9</v>
      </c>
      <c r="E184" s="11"/>
      <c r="F184" s="1">
        <f>Table133[[#This Row],[Box]]-Table133[[#This Row],[Order]]</f>
        <v>9</v>
      </c>
    </row>
    <row r="185" spans="1:6" x14ac:dyDescent="0.25">
      <c r="A185" s="1" t="s">
        <v>372</v>
      </c>
      <c r="B185" s="1" t="s">
        <v>373</v>
      </c>
      <c r="C185" s="1">
        <f>VLOOKUP(Table133[[#This Row],[Code]],'Main Storage'!A:D,3,0)</f>
        <v>1192</v>
      </c>
      <c r="D185" s="1">
        <f>VLOOKUP(Table133[[#This Row],[Code]],Order!A:F,6,0)</f>
        <v>9</v>
      </c>
      <c r="E185" s="11"/>
      <c r="F185" s="1">
        <f>Table133[[#This Row],[Box]]-Table133[[#This Row],[Order]]</f>
        <v>9</v>
      </c>
    </row>
    <row r="186" spans="1:6" x14ac:dyDescent="0.25">
      <c r="A186" s="1" t="s">
        <v>374</v>
      </c>
      <c r="B186" s="1" t="s">
        <v>375</v>
      </c>
      <c r="C186" s="1">
        <f>VLOOKUP(Table133[[#This Row],[Code]],'Main Storage'!A:D,3,0)</f>
        <v>945</v>
      </c>
      <c r="D186" s="1">
        <f>VLOOKUP(Table133[[#This Row],[Code]],Order!A:F,6,0)</f>
        <v>7</v>
      </c>
      <c r="E186" s="11"/>
      <c r="F186" s="1">
        <f>Table133[[#This Row],[Box]]-Table133[[#This Row],[Order]]</f>
        <v>7</v>
      </c>
    </row>
    <row r="187" spans="1:6" x14ac:dyDescent="0.25">
      <c r="A187" s="1" t="s">
        <v>376</v>
      </c>
      <c r="B187" s="1" t="s">
        <v>377</v>
      </c>
      <c r="C187" s="1">
        <f>VLOOKUP(Table133[[#This Row],[Code]],'Main Storage'!A:D,3,0)</f>
        <v>1319</v>
      </c>
      <c r="D187" s="1">
        <f>VLOOKUP(Table133[[#This Row],[Code]],Order!A:F,6,0)</f>
        <v>10</v>
      </c>
      <c r="E187" s="11"/>
      <c r="F187" s="1">
        <f>Table133[[#This Row],[Box]]-Table133[[#This Row],[Order]]</f>
        <v>10</v>
      </c>
    </row>
    <row r="188" spans="1:6" x14ac:dyDescent="0.25">
      <c r="A188" s="1" t="s">
        <v>378</v>
      </c>
      <c r="B188" s="1" t="s">
        <v>379</v>
      </c>
      <c r="C188" s="1">
        <f>VLOOKUP(Table133[[#This Row],[Code]],'Main Storage'!A:D,3,0)</f>
        <v>1253</v>
      </c>
      <c r="D188" s="1">
        <f>VLOOKUP(Table133[[#This Row],[Code]],Order!A:F,6,0)</f>
        <v>10</v>
      </c>
      <c r="E188" s="11"/>
      <c r="F188" s="1">
        <f>Table133[[#This Row],[Box]]-Table133[[#This Row],[Order]]</f>
        <v>10</v>
      </c>
    </row>
    <row r="189" spans="1:6" x14ac:dyDescent="0.25">
      <c r="A189" s="1" t="s">
        <v>380</v>
      </c>
      <c r="B189" s="1" t="s">
        <v>381</v>
      </c>
      <c r="C189" s="1">
        <f>VLOOKUP(Table133[[#This Row],[Code]],'Main Storage'!A:D,3,0)</f>
        <v>326</v>
      </c>
      <c r="D189" s="1">
        <f>VLOOKUP(Table133[[#This Row],[Code]],Order!A:F,6,0)</f>
        <v>2</v>
      </c>
      <c r="E189" s="11"/>
      <c r="F189" s="1">
        <f>Table133[[#This Row],[Box]]-Table133[[#This Row],[Order]]</f>
        <v>2</v>
      </c>
    </row>
    <row r="190" spans="1:6" x14ac:dyDescent="0.25">
      <c r="A190" s="1" t="s">
        <v>382</v>
      </c>
      <c r="B190" s="1" t="s">
        <v>383</v>
      </c>
      <c r="C190" s="1">
        <f>VLOOKUP(Table133[[#This Row],[Code]],'Main Storage'!A:D,3,0)</f>
        <v>1285</v>
      </c>
      <c r="D190" s="1">
        <f>VLOOKUP(Table133[[#This Row],[Code]],Order!A:F,6,0)</f>
        <v>10</v>
      </c>
      <c r="E190" s="11"/>
      <c r="F190" s="1">
        <f>Table133[[#This Row],[Box]]-Table133[[#This Row],[Order]]</f>
        <v>10</v>
      </c>
    </row>
    <row r="191" spans="1:6" x14ac:dyDescent="0.25">
      <c r="A191" s="1" t="s">
        <v>384</v>
      </c>
      <c r="B191" s="1" t="s">
        <v>385</v>
      </c>
      <c r="C191" s="1">
        <f>VLOOKUP(Table133[[#This Row],[Code]],'Main Storage'!A:D,3,0)</f>
        <v>1221</v>
      </c>
      <c r="D191" s="1">
        <f>VLOOKUP(Table133[[#This Row],[Code]],Order!A:F,6,0)</f>
        <v>10</v>
      </c>
      <c r="E191" s="11"/>
      <c r="F191" s="1">
        <f>Table133[[#This Row],[Box]]-Table133[[#This Row],[Order]]</f>
        <v>10</v>
      </c>
    </row>
    <row r="192" spans="1:6" x14ac:dyDescent="0.25">
      <c r="A192" s="1" t="s">
        <v>386</v>
      </c>
      <c r="B192" s="1" t="s">
        <v>387</v>
      </c>
      <c r="C192" s="1">
        <f>VLOOKUP(Table133[[#This Row],[Code]],'Main Storage'!A:D,3,0)</f>
        <v>83</v>
      </c>
      <c r="D192" s="1">
        <f>VLOOKUP(Table133[[#This Row],[Code]],Order!A:F,6,0)</f>
        <v>0</v>
      </c>
      <c r="E192" s="11"/>
      <c r="F192" s="1">
        <f>Table133[[#This Row],[Box]]-Table133[[#This Row],[Order]]</f>
        <v>0</v>
      </c>
    </row>
    <row r="193" spans="1:6" x14ac:dyDescent="0.25">
      <c r="A193" s="1" t="s">
        <v>388</v>
      </c>
      <c r="B193" s="1" t="s">
        <v>389</v>
      </c>
      <c r="C193" s="1">
        <f>VLOOKUP(Table133[[#This Row],[Code]],'Main Storage'!A:D,3,0)</f>
        <v>1436</v>
      </c>
      <c r="D193" s="1">
        <f>VLOOKUP(Table133[[#This Row],[Code]],Order!A:F,6,0)</f>
        <v>17</v>
      </c>
      <c r="E193" s="11"/>
      <c r="F193" s="1">
        <f>Table133[[#This Row],[Box]]-Table133[[#This Row],[Order]]</f>
        <v>17</v>
      </c>
    </row>
    <row r="194" spans="1:6" x14ac:dyDescent="0.25">
      <c r="A194" s="1" t="s">
        <v>390</v>
      </c>
      <c r="B194" s="1" t="s">
        <v>391</v>
      </c>
      <c r="C194" s="1">
        <f>VLOOKUP(Table133[[#This Row],[Code]],'Main Storage'!A:D,3,0)</f>
        <v>249</v>
      </c>
      <c r="D194" s="1">
        <f>VLOOKUP(Table133[[#This Row],[Code]],Order!A:F,6,0)</f>
        <v>3</v>
      </c>
      <c r="E194" s="11"/>
      <c r="F194" s="1">
        <f>Table133[[#This Row],[Box]]-Table133[[#This Row],[Order]]</f>
        <v>3</v>
      </c>
    </row>
    <row r="195" spans="1:6" x14ac:dyDescent="0.25">
      <c r="A195" s="1" t="s">
        <v>392</v>
      </c>
      <c r="B195" s="1" t="s">
        <v>393</v>
      </c>
      <c r="C195" s="1">
        <f>VLOOKUP(Table133[[#This Row],[Code]],'Main Storage'!A:D,3,0)</f>
        <v>260</v>
      </c>
      <c r="D195" s="1">
        <f>VLOOKUP(Table133[[#This Row],[Code]],Order!A:F,6,0)</f>
        <v>3</v>
      </c>
      <c r="E195" s="11"/>
      <c r="F195" s="1">
        <f>Table133[[#This Row],[Box]]-Table133[[#This Row],[Order]]</f>
        <v>3</v>
      </c>
    </row>
    <row r="196" spans="1:6" x14ac:dyDescent="0.25">
      <c r="A196" s="1" t="s">
        <v>394</v>
      </c>
      <c r="B196" s="1" t="s">
        <v>395</v>
      </c>
      <c r="C196" s="1">
        <f>VLOOKUP(Table133[[#This Row],[Code]],'Main Storage'!A:D,3,0)</f>
        <v>337</v>
      </c>
      <c r="D196" s="1">
        <f>VLOOKUP(Table133[[#This Row],[Code]],Order!A:F,6,0)</f>
        <v>4</v>
      </c>
      <c r="E196" s="11"/>
      <c r="F196" s="1">
        <f>Table133[[#This Row],[Box]]-Table133[[#This Row],[Order]]</f>
        <v>4</v>
      </c>
    </row>
    <row r="197" spans="1:6" x14ac:dyDescent="0.25">
      <c r="A197" s="1" t="s">
        <v>396</v>
      </c>
      <c r="B197" s="1" t="s">
        <v>397</v>
      </c>
      <c r="C197" s="1">
        <f>VLOOKUP(Table133[[#This Row],[Code]],'Main Storage'!A:D,3,0)</f>
        <v>895</v>
      </c>
      <c r="D197" s="1">
        <f>VLOOKUP(Table133[[#This Row],[Code]],Order!A:F,6,0)</f>
        <v>11</v>
      </c>
      <c r="E197" s="11"/>
      <c r="F197" s="1">
        <f>Table133[[#This Row],[Box]]-Table133[[#This Row],[Order]]</f>
        <v>11</v>
      </c>
    </row>
    <row r="198" spans="1:6" x14ac:dyDescent="0.25">
      <c r="A198" s="1" t="s">
        <v>398</v>
      </c>
      <c r="B198" s="1" t="s">
        <v>399</v>
      </c>
      <c r="C198" s="1">
        <f>VLOOKUP(Table133[[#This Row],[Code]],'Main Storage'!A:D,3,0)</f>
        <v>853</v>
      </c>
      <c r="D198" s="1">
        <f>VLOOKUP(Table133[[#This Row],[Code]],Order!A:F,6,0)</f>
        <v>10</v>
      </c>
      <c r="E198" s="11"/>
      <c r="F198" s="1">
        <f>Table133[[#This Row],[Box]]-Table133[[#This Row],[Order]]</f>
        <v>10</v>
      </c>
    </row>
    <row r="199" spans="1:6" x14ac:dyDescent="0.25">
      <c r="A199" s="1" t="s">
        <v>400</v>
      </c>
      <c r="B199" s="1" t="s">
        <v>401</v>
      </c>
      <c r="C199" s="1">
        <f>VLOOKUP(Table133[[#This Row],[Code]],'Main Storage'!A:D,3,0)</f>
        <v>551</v>
      </c>
      <c r="D199" s="1">
        <f>VLOOKUP(Table133[[#This Row],[Code]],Order!A:F,6,0)</f>
        <v>6</v>
      </c>
      <c r="E199" s="11"/>
      <c r="F199" s="1">
        <f>Table133[[#This Row],[Box]]-Table133[[#This Row],[Order]]</f>
        <v>6</v>
      </c>
    </row>
    <row r="200" spans="1:6" x14ac:dyDescent="0.25">
      <c r="A200" s="1" t="s">
        <v>402</v>
      </c>
      <c r="B200" s="1" t="s">
        <v>403</v>
      </c>
      <c r="C200" s="1">
        <f>VLOOKUP(Table133[[#This Row],[Code]],'Main Storage'!A:D,3,0)</f>
        <v>425</v>
      </c>
      <c r="D200" s="1">
        <f>VLOOKUP(Table133[[#This Row],[Code]],Order!A:F,6,0)</f>
        <v>5</v>
      </c>
      <c r="E200" s="11"/>
      <c r="F200" s="1">
        <f>Table133[[#This Row],[Box]]-Table133[[#This Row],[Order]]</f>
        <v>5</v>
      </c>
    </row>
    <row r="201" spans="1:6" x14ac:dyDescent="0.25">
      <c r="A201" s="1" t="s">
        <v>404</v>
      </c>
      <c r="B201" s="1" t="s">
        <v>405</v>
      </c>
      <c r="C201" s="1">
        <f>VLOOKUP(Table133[[#This Row],[Code]],'Main Storage'!A:D,3,0)</f>
        <v>981</v>
      </c>
      <c r="D201" s="1">
        <f>VLOOKUP(Table133[[#This Row],[Code]],Order!A:F,6,0)</f>
        <v>12</v>
      </c>
      <c r="E201" s="11"/>
      <c r="F201" s="1">
        <f>Table133[[#This Row],[Box]]-Table133[[#This Row],[Order]]</f>
        <v>12</v>
      </c>
    </row>
    <row r="202" spans="1:6" x14ac:dyDescent="0.25">
      <c r="A202" s="1" t="s">
        <v>406</v>
      </c>
      <c r="B202" s="1" t="s">
        <v>407</v>
      </c>
      <c r="C202" s="1">
        <f>VLOOKUP(Table133[[#This Row],[Code]],'Main Storage'!A:D,3,0)</f>
        <v>922</v>
      </c>
      <c r="D202" s="1">
        <f>VLOOKUP(Table133[[#This Row],[Code]],Order!A:F,6,0)</f>
        <v>11</v>
      </c>
      <c r="E202" s="11"/>
      <c r="F202" s="1">
        <f>Table133[[#This Row],[Box]]-Table133[[#This Row],[Order]]</f>
        <v>11</v>
      </c>
    </row>
    <row r="203" spans="1:6" x14ac:dyDescent="0.25">
      <c r="A203" s="1" t="s">
        <v>408</v>
      </c>
      <c r="B203" s="1" t="s">
        <v>409</v>
      </c>
      <c r="C203" s="1">
        <f>VLOOKUP(Table133[[#This Row],[Code]],'Main Storage'!A:D,3,0)</f>
        <v>515</v>
      </c>
      <c r="D203" s="1">
        <f>VLOOKUP(Table133[[#This Row],[Code]],Order!A:F,6,0)</f>
        <v>6</v>
      </c>
      <c r="E203" s="11"/>
      <c r="F203" s="1">
        <f>Table133[[#This Row],[Box]]-Table133[[#This Row],[Order]]</f>
        <v>6</v>
      </c>
    </row>
    <row r="204" spans="1:6" x14ac:dyDescent="0.25">
      <c r="A204" s="1" t="s">
        <v>410</v>
      </c>
      <c r="B204" s="1" t="s">
        <v>411</v>
      </c>
      <c r="C204" s="1">
        <f>VLOOKUP(Table133[[#This Row],[Code]],'Main Storage'!A:D,3,0)</f>
        <v>965</v>
      </c>
      <c r="D204" s="1">
        <f>VLOOKUP(Table133[[#This Row],[Code]],Order!A:F,6,0)</f>
        <v>12</v>
      </c>
      <c r="E204" s="11"/>
      <c r="F204" s="1">
        <f>Table133[[#This Row],[Box]]-Table133[[#This Row],[Order]]</f>
        <v>12</v>
      </c>
    </row>
    <row r="205" spans="1:6" x14ac:dyDescent="0.25">
      <c r="A205" s="1" t="s">
        <v>412</v>
      </c>
      <c r="B205" s="1" t="s">
        <v>413</v>
      </c>
      <c r="C205" s="1">
        <f>VLOOKUP(Table133[[#This Row],[Code]],'Main Storage'!A:D,3,0)</f>
        <v>1494</v>
      </c>
      <c r="D205" s="1">
        <f>VLOOKUP(Table133[[#This Row],[Code]],Order!A:F,6,0)</f>
        <v>18</v>
      </c>
      <c r="E205" s="11"/>
      <c r="F205" s="1">
        <f>Table133[[#This Row],[Box]]-Table133[[#This Row],[Order]]</f>
        <v>18</v>
      </c>
    </row>
    <row r="206" spans="1:6" x14ac:dyDescent="0.25">
      <c r="A206" s="1" t="s">
        <v>414</v>
      </c>
      <c r="B206" s="1" t="s">
        <v>415</v>
      </c>
      <c r="C206" s="1">
        <f>VLOOKUP(Table133[[#This Row],[Code]],'Main Storage'!A:D,3,0)</f>
        <v>450</v>
      </c>
      <c r="D206" s="1">
        <f>VLOOKUP(Table133[[#This Row],[Code]],Order!A:F,6,0)</f>
        <v>5</v>
      </c>
      <c r="E206" s="11"/>
      <c r="F206" s="1">
        <f>Table133[[#This Row],[Box]]-Table133[[#This Row],[Order]]</f>
        <v>5</v>
      </c>
    </row>
    <row r="207" spans="1:6" x14ac:dyDescent="0.25">
      <c r="A207" s="1" t="s">
        <v>416</v>
      </c>
      <c r="B207" s="1" t="s">
        <v>417</v>
      </c>
      <c r="C207" s="1">
        <f>VLOOKUP(Table133[[#This Row],[Code]],'Main Storage'!A:D,3,0)</f>
        <v>276</v>
      </c>
      <c r="D207" s="1">
        <f>VLOOKUP(Table133[[#This Row],[Code]],Order!A:F,6,0)</f>
        <v>3</v>
      </c>
      <c r="E207" s="11"/>
      <c r="F207" s="1">
        <f>Table133[[#This Row],[Box]]-Table133[[#This Row],[Order]]</f>
        <v>3</v>
      </c>
    </row>
    <row r="208" spans="1:6" x14ac:dyDescent="0.25">
      <c r="A208" s="1" t="s">
        <v>418</v>
      </c>
      <c r="B208" s="1" t="s">
        <v>419</v>
      </c>
      <c r="C208" s="1">
        <f>VLOOKUP(Table133[[#This Row],[Code]],'Main Storage'!A:D,3,0)</f>
        <v>189</v>
      </c>
      <c r="D208" s="1">
        <f>VLOOKUP(Table133[[#This Row],[Code]],Order!A:F,6,0)</f>
        <v>2</v>
      </c>
      <c r="E208" s="11"/>
      <c r="F208" s="1">
        <f>Table133[[#This Row],[Box]]-Table133[[#This Row],[Order]]</f>
        <v>2</v>
      </c>
    </row>
    <row r="209" spans="1:6" x14ac:dyDescent="0.25">
      <c r="A209" s="1" t="s">
        <v>420</v>
      </c>
      <c r="B209" s="1" t="s">
        <v>421</v>
      </c>
      <c r="C209" s="1">
        <f>VLOOKUP(Table133[[#This Row],[Code]],'Main Storage'!A:D,3,0)</f>
        <v>871</v>
      </c>
      <c r="D209" s="1">
        <f>VLOOKUP(Table133[[#This Row],[Code]],Order!A:F,6,0)</f>
        <v>10</v>
      </c>
      <c r="E209" s="11"/>
      <c r="F209" s="1">
        <f>Table133[[#This Row],[Box]]-Table133[[#This Row],[Order]]</f>
        <v>10</v>
      </c>
    </row>
    <row r="210" spans="1:6" x14ac:dyDescent="0.25">
      <c r="A210" s="1" t="s">
        <v>422</v>
      </c>
      <c r="B210" s="1" t="s">
        <v>423</v>
      </c>
      <c r="C210" s="1">
        <f>VLOOKUP(Table133[[#This Row],[Code]],'Main Storage'!A:D,3,0)</f>
        <v>55</v>
      </c>
      <c r="D210" s="1">
        <f>VLOOKUP(Table133[[#This Row],[Code]],Order!A:F,6,0)</f>
        <v>0</v>
      </c>
      <c r="E210" s="11"/>
      <c r="F210" s="1">
        <f>Table133[[#This Row],[Box]]-Table133[[#This Row],[Order]]</f>
        <v>0</v>
      </c>
    </row>
    <row r="211" spans="1:6" x14ac:dyDescent="0.25">
      <c r="A211" s="1" t="s">
        <v>427</v>
      </c>
      <c r="C211" s="1">
        <f>VLOOKUP(Table133[[#This Row],[Code]],'Main Storage'!A:D,3,0)</f>
        <v>155010</v>
      </c>
      <c r="D211" s="1">
        <f>VLOOKUP(Table133[[#This Row],[Code]],Order!A:F,6,0)</f>
        <v>10</v>
      </c>
      <c r="E211" s="11"/>
      <c r="F211" s="1">
        <f>Table133[[#This Row],[Box]]-Table133[[#This Row],[Order]]</f>
        <v>10</v>
      </c>
    </row>
  </sheetData>
  <dataValidations count="1">
    <dataValidation type="whole" allowBlank="1" showInputMessage="1" showErrorMessage="1" errorTitle="Enter Number" error="Just Number between 0 to BOX column" promptTitle="Enter Number" prompt="Just Number between 0 to BOX column" sqref="E2:E211" xr:uid="{7609A081-636C-45B2-876F-41641E6D44FA}">
      <formula1>0</formula1>
      <formula2>D2</formula2>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5506E-1C3B-4BA3-80FE-DF7549DA26A5}">
  <dimension ref="A1:F211"/>
  <sheetViews>
    <sheetView workbookViewId="0">
      <selection sqref="A1:XFD1048576"/>
    </sheetView>
  </sheetViews>
  <sheetFormatPr defaultRowHeight="15" x14ac:dyDescent="0.25"/>
  <cols>
    <col min="1" max="2" width="9.140625" style="1"/>
    <col min="3" max="3" width="18.28515625" style="1" customWidth="1"/>
    <col min="4" max="16384" width="9.140625" style="1"/>
  </cols>
  <sheetData>
    <row r="1" spans="1:6" x14ac:dyDescent="0.25">
      <c r="A1" s="1" t="s">
        <v>2</v>
      </c>
      <c r="B1" s="1" t="s">
        <v>1</v>
      </c>
      <c r="C1" s="1" t="s">
        <v>428</v>
      </c>
      <c r="D1" s="1" t="s">
        <v>429</v>
      </c>
      <c r="E1" s="1" t="s">
        <v>430</v>
      </c>
      <c r="F1" s="1" t="s">
        <v>431</v>
      </c>
    </row>
    <row r="2" spans="1:6" x14ac:dyDescent="0.25">
      <c r="A2" s="1" t="s">
        <v>3</v>
      </c>
      <c r="B2" s="1" t="s">
        <v>4</v>
      </c>
      <c r="C2" s="1">
        <f>VLOOKUP(Table134[[#This Row],[Code]],'Main Storage'!A:D,3,0)</f>
        <v>754</v>
      </c>
      <c r="D2" s="1">
        <f>VLOOKUP(Table134[[#This Row],[Code]],Connecticut!A:F,6,0)</f>
        <v>62</v>
      </c>
      <c r="E2" s="11"/>
      <c r="F2" s="1">
        <f>Table134[[#This Row],[Box]]-Table134[[#This Row],[Order]]</f>
        <v>62</v>
      </c>
    </row>
    <row r="3" spans="1:6" x14ac:dyDescent="0.25">
      <c r="A3" s="1" t="s">
        <v>6</v>
      </c>
      <c r="B3" s="1" t="s">
        <v>54</v>
      </c>
      <c r="C3" s="1">
        <f>VLOOKUP(Table134[[#This Row],[Code]],'Main Storage'!A:D,3,0)</f>
        <v>1440</v>
      </c>
      <c r="D3" s="1">
        <f>VLOOKUP(Table134[[#This Row],[Code]],Connecticut!A:F,6,0)</f>
        <v>120</v>
      </c>
      <c r="E3" s="11"/>
      <c r="F3" s="1">
        <f>Table134[[#This Row],[Box]]-Table134[[#This Row],[Order]]</f>
        <v>120</v>
      </c>
    </row>
    <row r="4" spans="1:6" x14ac:dyDescent="0.25">
      <c r="A4" s="1" t="s">
        <v>7</v>
      </c>
      <c r="B4" s="1" t="s">
        <v>55</v>
      </c>
      <c r="C4" s="1">
        <f>VLOOKUP(Table134[[#This Row],[Code]],'Main Storage'!A:D,3,0)</f>
        <v>1383</v>
      </c>
      <c r="D4" s="1">
        <f>VLOOKUP(Table134[[#This Row],[Code]],Connecticut!A:F,6,0)</f>
        <v>115</v>
      </c>
      <c r="E4" s="11"/>
      <c r="F4" s="1">
        <f>Table134[[#This Row],[Box]]-Table134[[#This Row],[Order]]</f>
        <v>115</v>
      </c>
    </row>
    <row r="5" spans="1:6" x14ac:dyDescent="0.25">
      <c r="A5" s="1" t="s">
        <v>8</v>
      </c>
      <c r="B5" s="1" t="s">
        <v>56</v>
      </c>
      <c r="C5" s="1">
        <f>VLOOKUP(Table134[[#This Row],[Code]],'Main Storage'!A:D,3,0)</f>
        <v>1376</v>
      </c>
      <c r="D5" s="1">
        <f>VLOOKUP(Table134[[#This Row],[Code]],Connecticut!A:F,6,0)</f>
        <v>114</v>
      </c>
      <c r="E5" s="11"/>
      <c r="F5" s="1">
        <f>Table134[[#This Row],[Box]]-Table134[[#This Row],[Order]]</f>
        <v>114</v>
      </c>
    </row>
    <row r="6" spans="1:6" x14ac:dyDescent="0.25">
      <c r="A6" s="1" t="s">
        <v>9</v>
      </c>
      <c r="B6" s="1" t="s">
        <v>57</v>
      </c>
      <c r="C6" s="1">
        <f>VLOOKUP(Table134[[#This Row],[Code]],'Main Storage'!A:D,3,0)</f>
        <v>826</v>
      </c>
      <c r="D6" s="1">
        <f>VLOOKUP(Table134[[#This Row],[Code]],Connecticut!A:F,6,0)</f>
        <v>68</v>
      </c>
      <c r="E6" s="11"/>
      <c r="F6" s="1">
        <f>Table134[[#This Row],[Box]]-Table134[[#This Row],[Order]]</f>
        <v>68</v>
      </c>
    </row>
    <row r="7" spans="1:6" x14ac:dyDescent="0.25">
      <c r="A7" s="1" t="s">
        <v>10</v>
      </c>
      <c r="B7" s="1" t="s">
        <v>58</v>
      </c>
      <c r="C7" s="1">
        <f>VLOOKUP(Table134[[#This Row],[Code]],'Main Storage'!A:D,3,0)</f>
        <v>939</v>
      </c>
      <c r="D7" s="1">
        <f>VLOOKUP(Table134[[#This Row],[Code]],Connecticut!A:F,6,0)</f>
        <v>78</v>
      </c>
      <c r="E7" s="11"/>
      <c r="F7" s="1">
        <f>Table134[[#This Row],[Box]]-Table134[[#This Row],[Order]]</f>
        <v>78</v>
      </c>
    </row>
    <row r="8" spans="1:6" x14ac:dyDescent="0.25">
      <c r="A8" s="1" t="s">
        <v>11</v>
      </c>
      <c r="B8" s="1" t="s">
        <v>59</v>
      </c>
      <c r="C8" s="1">
        <f>VLOOKUP(Table134[[#This Row],[Code]],'Main Storage'!A:D,3,0)</f>
        <v>908</v>
      </c>
      <c r="D8" s="1">
        <f>VLOOKUP(Table134[[#This Row],[Code]],Connecticut!A:F,6,0)</f>
        <v>75</v>
      </c>
      <c r="E8" s="11"/>
      <c r="F8" s="1">
        <f>Table134[[#This Row],[Box]]-Table134[[#This Row],[Order]]</f>
        <v>75</v>
      </c>
    </row>
    <row r="9" spans="1:6" x14ac:dyDescent="0.25">
      <c r="A9" s="1" t="s">
        <v>12</v>
      </c>
      <c r="B9" s="1" t="s">
        <v>60</v>
      </c>
      <c r="C9" s="1">
        <f>VLOOKUP(Table134[[#This Row],[Code]],'Main Storage'!A:D,3,0)</f>
        <v>675</v>
      </c>
      <c r="D9" s="1">
        <f>VLOOKUP(Table134[[#This Row],[Code]],Connecticut!A:F,6,0)</f>
        <v>56</v>
      </c>
      <c r="E9" s="11"/>
      <c r="F9" s="1">
        <f>Table134[[#This Row],[Box]]-Table134[[#This Row],[Order]]</f>
        <v>56</v>
      </c>
    </row>
    <row r="10" spans="1:6" x14ac:dyDescent="0.25">
      <c r="A10" s="1" t="s">
        <v>13</v>
      </c>
      <c r="B10" s="1" t="s">
        <v>61</v>
      </c>
      <c r="C10" s="1">
        <f>VLOOKUP(Table134[[#This Row],[Code]],'Main Storage'!A:D,3,0)</f>
        <v>590</v>
      </c>
      <c r="D10" s="1">
        <f>VLOOKUP(Table134[[#This Row],[Code]],Connecticut!A:F,6,0)</f>
        <v>49</v>
      </c>
      <c r="E10" s="11"/>
      <c r="F10" s="1">
        <f>Table134[[#This Row],[Box]]-Table134[[#This Row],[Order]]</f>
        <v>49</v>
      </c>
    </row>
    <row r="11" spans="1:6" x14ac:dyDescent="0.25">
      <c r="A11" s="1" t="s">
        <v>14</v>
      </c>
      <c r="B11" s="1" t="s">
        <v>62</v>
      </c>
      <c r="C11" s="1">
        <f>VLOOKUP(Table134[[#This Row],[Code]],'Main Storage'!A:D,3,0)</f>
        <v>973</v>
      </c>
      <c r="D11" s="1">
        <f>VLOOKUP(Table134[[#This Row],[Code]],Connecticut!A:F,6,0)</f>
        <v>81</v>
      </c>
      <c r="E11" s="11"/>
      <c r="F11" s="1">
        <f>Table134[[#This Row],[Box]]-Table134[[#This Row],[Order]]</f>
        <v>81</v>
      </c>
    </row>
    <row r="12" spans="1:6" x14ac:dyDescent="0.25">
      <c r="A12" s="1" t="s">
        <v>15</v>
      </c>
      <c r="B12" s="1" t="s">
        <v>63</v>
      </c>
      <c r="C12" s="1">
        <f>VLOOKUP(Table134[[#This Row],[Code]],'Main Storage'!A:D,3,0)</f>
        <v>608</v>
      </c>
      <c r="D12" s="1">
        <f>VLOOKUP(Table134[[#This Row],[Code]],Connecticut!A:F,6,0)</f>
        <v>50</v>
      </c>
      <c r="E12" s="11"/>
      <c r="F12" s="1">
        <f>Table134[[#This Row],[Box]]-Table134[[#This Row],[Order]]</f>
        <v>50</v>
      </c>
    </row>
    <row r="13" spans="1:6" x14ac:dyDescent="0.25">
      <c r="A13" s="1" t="s">
        <v>16</v>
      </c>
      <c r="B13" s="1" t="s">
        <v>64</v>
      </c>
      <c r="C13" s="1">
        <f>VLOOKUP(Table134[[#This Row],[Code]],'Main Storage'!A:D,3,0)</f>
        <v>1191</v>
      </c>
      <c r="D13" s="1">
        <f>VLOOKUP(Table134[[#This Row],[Code]],Connecticut!A:F,6,0)</f>
        <v>99</v>
      </c>
      <c r="E13" s="11"/>
      <c r="F13" s="1">
        <f>Table134[[#This Row],[Box]]-Table134[[#This Row],[Order]]</f>
        <v>99</v>
      </c>
    </row>
    <row r="14" spans="1:6" x14ac:dyDescent="0.25">
      <c r="A14" s="1" t="s">
        <v>17</v>
      </c>
      <c r="B14" s="1" t="s">
        <v>65</v>
      </c>
      <c r="C14" s="1">
        <f>VLOOKUP(Table134[[#This Row],[Code]],'Main Storage'!A:D,3,0)</f>
        <v>336</v>
      </c>
      <c r="D14" s="1">
        <f>VLOOKUP(Table134[[#This Row],[Code]],Connecticut!A:F,6,0)</f>
        <v>28</v>
      </c>
      <c r="E14" s="11"/>
      <c r="F14" s="1">
        <f>Table134[[#This Row],[Box]]-Table134[[#This Row],[Order]]</f>
        <v>28</v>
      </c>
    </row>
    <row r="15" spans="1:6" x14ac:dyDescent="0.25">
      <c r="A15" s="1" t="s">
        <v>18</v>
      </c>
      <c r="B15" s="1" t="s">
        <v>66</v>
      </c>
      <c r="C15" s="1">
        <f>VLOOKUP(Table134[[#This Row],[Code]],'Main Storage'!A:D,3,0)</f>
        <v>98</v>
      </c>
      <c r="D15" s="1">
        <f>VLOOKUP(Table134[[#This Row],[Code]],Connecticut!A:F,6,0)</f>
        <v>8</v>
      </c>
      <c r="E15" s="11"/>
      <c r="F15" s="1">
        <f>Table134[[#This Row],[Box]]-Table134[[#This Row],[Order]]</f>
        <v>8</v>
      </c>
    </row>
    <row r="16" spans="1:6" x14ac:dyDescent="0.25">
      <c r="A16" s="1" t="s">
        <v>19</v>
      </c>
      <c r="B16" s="1" t="s">
        <v>67</v>
      </c>
      <c r="C16" s="1">
        <f>VLOOKUP(Table134[[#This Row],[Code]],'Main Storage'!A:D,3,0)</f>
        <v>145</v>
      </c>
      <c r="D16" s="1">
        <f>VLOOKUP(Table134[[#This Row],[Code]],Connecticut!A:F,6,0)</f>
        <v>12</v>
      </c>
      <c r="E16" s="11"/>
      <c r="F16" s="1">
        <f>Table134[[#This Row],[Box]]-Table134[[#This Row],[Order]]</f>
        <v>12</v>
      </c>
    </row>
    <row r="17" spans="1:6" x14ac:dyDescent="0.25">
      <c r="A17" s="1" t="s">
        <v>20</v>
      </c>
      <c r="B17" s="1" t="s">
        <v>68</v>
      </c>
      <c r="C17" s="1">
        <f>VLOOKUP(Table134[[#This Row],[Code]],'Main Storage'!A:D,3,0)</f>
        <v>823</v>
      </c>
      <c r="D17" s="1">
        <f>VLOOKUP(Table134[[#This Row],[Code]],Connecticut!A:F,6,0)</f>
        <v>68</v>
      </c>
      <c r="E17" s="11"/>
      <c r="F17" s="1">
        <f>Table134[[#This Row],[Box]]-Table134[[#This Row],[Order]]</f>
        <v>68</v>
      </c>
    </row>
    <row r="18" spans="1:6" x14ac:dyDescent="0.25">
      <c r="A18" s="1" t="s">
        <v>21</v>
      </c>
      <c r="B18" s="1" t="s">
        <v>69</v>
      </c>
      <c r="C18" s="1">
        <f>VLOOKUP(Table134[[#This Row],[Code]],'Main Storage'!A:D,3,0)</f>
        <v>1238</v>
      </c>
      <c r="D18" s="1">
        <f>VLOOKUP(Table134[[#This Row],[Code]],Connecticut!A:F,6,0)</f>
        <v>103</v>
      </c>
      <c r="E18" s="11"/>
      <c r="F18" s="1">
        <f>Table134[[#This Row],[Box]]-Table134[[#This Row],[Order]]</f>
        <v>103</v>
      </c>
    </row>
    <row r="19" spans="1:6" x14ac:dyDescent="0.25">
      <c r="A19" s="1" t="s">
        <v>22</v>
      </c>
      <c r="B19" s="1" t="s">
        <v>70</v>
      </c>
      <c r="C19" s="1">
        <f>VLOOKUP(Table134[[#This Row],[Code]],'Main Storage'!A:D,3,0)</f>
        <v>624</v>
      </c>
      <c r="D19" s="1">
        <f>VLOOKUP(Table134[[#This Row],[Code]],Connecticut!A:F,6,0)</f>
        <v>52</v>
      </c>
      <c r="E19" s="11"/>
      <c r="F19" s="1">
        <f>Table134[[#This Row],[Box]]-Table134[[#This Row],[Order]]</f>
        <v>52</v>
      </c>
    </row>
    <row r="20" spans="1:6" x14ac:dyDescent="0.25">
      <c r="A20" s="1" t="s">
        <v>23</v>
      </c>
      <c r="B20" s="1" t="s">
        <v>71</v>
      </c>
      <c r="C20" s="1">
        <f>VLOOKUP(Table134[[#This Row],[Code]],'Main Storage'!A:D,3,0)</f>
        <v>788</v>
      </c>
      <c r="D20" s="1">
        <f>VLOOKUP(Table134[[#This Row],[Code]],Connecticut!A:F,6,0)</f>
        <v>65</v>
      </c>
      <c r="E20" s="11"/>
      <c r="F20" s="1">
        <f>Table134[[#This Row],[Box]]-Table134[[#This Row],[Order]]</f>
        <v>65</v>
      </c>
    </row>
    <row r="21" spans="1:6" x14ac:dyDescent="0.25">
      <c r="A21" s="1" t="s">
        <v>24</v>
      </c>
      <c r="B21" s="1" t="s">
        <v>72</v>
      </c>
      <c r="C21" s="1">
        <f>VLOOKUP(Table134[[#This Row],[Code]],'Main Storage'!A:D,3,0)</f>
        <v>368</v>
      </c>
      <c r="D21" s="1">
        <f>VLOOKUP(Table134[[#This Row],[Code]],Connecticut!A:F,6,0)</f>
        <v>30</v>
      </c>
      <c r="E21" s="11"/>
      <c r="F21" s="1">
        <f>Table134[[#This Row],[Box]]-Table134[[#This Row],[Order]]</f>
        <v>30</v>
      </c>
    </row>
    <row r="22" spans="1:6" x14ac:dyDescent="0.25">
      <c r="A22" s="1" t="s">
        <v>25</v>
      </c>
      <c r="B22" s="1" t="s">
        <v>73</v>
      </c>
      <c r="C22" s="1">
        <f>VLOOKUP(Table134[[#This Row],[Code]],'Main Storage'!A:D,3,0)</f>
        <v>281</v>
      </c>
      <c r="D22" s="1">
        <f>VLOOKUP(Table134[[#This Row],[Code]],Connecticut!A:F,6,0)</f>
        <v>23</v>
      </c>
      <c r="E22" s="11"/>
      <c r="F22" s="1">
        <f>Table134[[#This Row],[Box]]-Table134[[#This Row],[Order]]</f>
        <v>23</v>
      </c>
    </row>
    <row r="23" spans="1:6" x14ac:dyDescent="0.25">
      <c r="A23" s="1" t="s">
        <v>26</v>
      </c>
      <c r="B23" s="1" t="s">
        <v>74</v>
      </c>
      <c r="C23" s="1">
        <f>VLOOKUP(Table134[[#This Row],[Code]],'Main Storage'!A:D,3,0)</f>
        <v>1480</v>
      </c>
      <c r="D23" s="1">
        <f>VLOOKUP(Table134[[#This Row],[Code]],Connecticut!A:F,6,0)</f>
        <v>123</v>
      </c>
      <c r="E23" s="11"/>
      <c r="F23" s="1">
        <f>Table134[[#This Row],[Box]]-Table134[[#This Row],[Order]]</f>
        <v>123</v>
      </c>
    </row>
    <row r="24" spans="1:6" x14ac:dyDescent="0.25">
      <c r="A24" s="1" t="s">
        <v>27</v>
      </c>
      <c r="B24" s="1" t="s">
        <v>75</v>
      </c>
      <c r="C24" s="1">
        <f>VLOOKUP(Table134[[#This Row],[Code]],'Main Storage'!A:D,3,0)</f>
        <v>1088</v>
      </c>
      <c r="D24" s="1">
        <f>VLOOKUP(Table134[[#This Row],[Code]],Connecticut!A:F,6,0)</f>
        <v>90</v>
      </c>
      <c r="E24" s="11"/>
      <c r="F24" s="1">
        <f>Table134[[#This Row],[Box]]-Table134[[#This Row],[Order]]</f>
        <v>90</v>
      </c>
    </row>
    <row r="25" spans="1:6" x14ac:dyDescent="0.25">
      <c r="A25" s="1" t="s">
        <v>28</v>
      </c>
      <c r="B25" s="1" t="s">
        <v>76</v>
      </c>
      <c r="C25" s="1">
        <f>VLOOKUP(Table134[[#This Row],[Code]],'Main Storage'!A:D,3,0)</f>
        <v>8</v>
      </c>
      <c r="D25" s="1">
        <f>VLOOKUP(Table134[[#This Row],[Code]],Connecticut!A:F,6,0)</f>
        <v>0</v>
      </c>
      <c r="E25" s="11"/>
      <c r="F25" s="1">
        <f>Table134[[#This Row],[Box]]-Table134[[#This Row],[Order]]</f>
        <v>0</v>
      </c>
    </row>
    <row r="26" spans="1:6" x14ac:dyDescent="0.25">
      <c r="A26" s="1" t="s">
        <v>29</v>
      </c>
      <c r="B26" s="1" t="s">
        <v>77</v>
      </c>
      <c r="C26" s="1">
        <f>VLOOKUP(Table134[[#This Row],[Code]],'Main Storage'!A:D,3,0)</f>
        <v>82</v>
      </c>
      <c r="D26" s="1">
        <f>VLOOKUP(Table134[[#This Row],[Code]],Connecticut!A:F,6,0)</f>
        <v>6</v>
      </c>
      <c r="E26" s="11"/>
      <c r="F26" s="1">
        <f>Table134[[#This Row],[Box]]-Table134[[#This Row],[Order]]</f>
        <v>6</v>
      </c>
    </row>
    <row r="27" spans="1:6" x14ac:dyDescent="0.25">
      <c r="A27" s="1" t="s">
        <v>30</v>
      </c>
      <c r="B27" s="1" t="s">
        <v>78</v>
      </c>
      <c r="C27" s="1">
        <f>VLOOKUP(Table134[[#This Row],[Code]],'Main Storage'!A:D,3,0)</f>
        <v>518</v>
      </c>
      <c r="D27" s="1">
        <f>VLOOKUP(Table134[[#This Row],[Code]],Connecticut!A:F,6,0)</f>
        <v>43</v>
      </c>
      <c r="E27" s="11"/>
      <c r="F27" s="1">
        <f>Table134[[#This Row],[Box]]-Table134[[#This Row],[Order]]</f>
        <v>43</v>
      </c>
    </row>
    <row r="28" spans="1:6" x14ac:dyDescent="0.25">
      <c r="A28" s="1" t="s">
        <v>31</v>
      </c>
      <c r="B28" s="1" t="s">
        <v>79</v>
      </c>
      <c r="C28" s="1">
        <f>VLOOKUP(Table134[[#This Row],[Code]],'Main Storage'!A:D,3,0)</f>
        <v>459</v>
      </c>
      <c r="D28" s="1">
        <f>VLOOKUP(Table134[[#This Row],[Code]],Connecticut!A:F,6,0)</f>
        <v>38</v>
      </c>
      <c r="E28" s="11"/>
      <c r="F28" s="1">
        <f>Table134[[#This Row],[Box]]-Table134[[#This Row],[Order]]</f>
        <v>38</v>
      </c>
    </row>
    <row r="29" spans="1:6" x14ac:dyDescent="0.25">
      <c r="A29" s="1" t="s">
        <v>32</v>
      </c>
      <c r="B29" s="1" t="s">
        <v>80</v>
      </c>
      <c r="C29" s="1">
        <f>VLOOKUP(Table134[[#This Row],[Code]],'Main Storage'!A:D,3,0)</f>
        <v>305</v>
      </c>
      <c r="D29" s="1">
        <f>VLOOKUP(Table134[[#This Row],[Code]],Connecticut!A:F,6,0)</f>
        <v>25</v>
      </c>
      <c r="E29" s="11"/>
      <c r="F29" s="1">
        <f>Table134[[#This Row],[Box]]-Table134[[#This Row],[Order]]</f>
        <v>25</v>
      </c>
    </row>
    <row r="30" spans="1:6" x14ac:dyDescent="0.25">
      <c r="A30" s="1" t="s">
        <v>33</v>
      </c>
      <c r="B30" s="1" t="s">
        <v>81</v>
      </c>
      <c r="C30" s="1">
        <f>VLOOKUP(Table134[[#This Row],[Code]],'Main Storage'!A:D,3,0)</f>
        <v>348</v>
      </c>
      <c r="D30" s="1">
        <f>VLOOKUP(Table134[[#This Row],[Code]],Connecticut!A:F,6,0)</f>
        <v>29</v>
      </c>
      <c r="E30" s="11"/>
      <c r="F30" s="1">
        <f>Table134[[#This Row],[Box]]-Table134[[#This Row],[Order]]</f>
        <v>29</v>
      </c>
    </row>
    <row r="31" spans="1:6" x14ac:dyDescent="0.25">
      <c r="A31" s="1" t="s">
        <v>34</v>
      </c>
      <c r="B31" s="1" t="s">
        <v>82</v>
      </c>
      <c r="C31" s="1">
        <f>VLOOKUP(Table134[[#This Row],[Code]],'Main Storage'!A:D,3,0)</f>
        <v>222</v>
      </c>
      <c r="D31" s="1">
        <f>VLOOKUP(Table134[[#This Row],[Code]],Connecticut!A:F,6,0)</f>
        <v>18</v>
      </c>
      <c r="E31" s="11"/>
      <c r="F31" s="1">
        <f>Table134[[#This Row],[Box]]-Table134[[#This Row],[Order]]</f>
        <v>18</v>
      </c>
    </row>
    <row r="32" spans="1:6" x14ac:dyDescent="0.25">
      <c r="A32" s="1" t="s">
        <v>35</v>
      </c>
      <c r="B32" s="1" t="s">
        <v>83</v>
      </c>
      <c r="C32" s="1">
        <f>VLOOKUP(Table134[[#This Row],[Code]],'Main Storage'!A:D,3,0)</f>
        <v>729</v>
      </c>
      <c r="D32" s="1">
        <f>VLOOKUP(Table134[[#This Row],[Code]],Connecticut!A:F,6,0)</f>
        <v>60</v>
      </c>
      <c r="E32" s="11"/>
      <c r="F32" s="1">
        <f>Table134[[#This Row],[Box]]-Table134[[#This Row],[Order]]</f>
        <v>60</v>
      </c>
    </row>
    <row r="33" spans="1:6" x14ac:dyDescent="0.25">
      <c r="A33" s="1" t="s">
        <v>36</v>
      </c>
      <c r="B33" s="1" t="s">
        <v>84</v>
      </c>
      <c r="C33" s="1">
        <f>VLOOKUP(Table134[[#This Row],[Code]],'Main Storage'!A:D,3,0)</f>
        <v>874</v>
      </c>
      <c r="D33" s="1">
        <f>VLOOKUP(Table134[[#This Row],[Code]],Connecticut!A:F,6,0)</f>
        <v>72</v>
      </c>
      <c r="E33" s="11"/>
      <c r="F33" s="1">
        <f>Table134[[#This Row],[Box]]-Table134[[#This Row],[Order]]</f>
        <v>72</v>
      </c>
    </row>
    <row r="34" spans="1:6" x14ac:dyDescent="0.25">
      <c r="A34" s="1" t="s">
        <v>37</v>
      </c>
      <c r="B34" s="1" t="s">
        <v>85</v>
      </c>
      <c r="C34" s="1">
        <f>VLOOKUP(Table134[[#This Row],[Code]],'Main Storage'!A:D,3,0)</f>
        <v>377</v>
      </c>
      <c r="D34" s="1">
        <f>VLOOKUP(Table134[[#This Row],[Code]],Connecticut!A:F,6,0)</f>
        <v>31</v>
      </c>
      <c r="E34" s="11"/>
      <c r="F34" s="1">
        <f>Table134[[#This Row],[Box]]-Table134[[#This Row],[Order]]</f>
        <v>31</v>
      </c>
    </row>
    <row r="35" spans="1:6" x14ac:dyDescent="0.25">
      <c r="A35" s="1" t="s">
        <v>38</v>
      </c>
      <c r="B35" s="1" t="s">
        <v>86</v>
      </c>
      <c r="C35" s="1">
        <f>VLOOKUP(Table134[[#This Row],[Code]],'Main Storage'!A:D,3,0)</f>
        <v>1189</v>
      </c>
      <c r="D35" s="1">
        <f>VLOOKUP(Table134[[#This Row],[Code]],Connecticut!A:F,6,0)</f>
        <v>99</v>
      </c>
      <c r="E35" s="11"/>
      <c r="F35" s="1">
        <f>Table134[[#This Row],[Box]]-Table134[[#This Row],[Order]]</f>
        <v>99</v>
      </c>
    </row>
    <row r="36" spans="1:6" x14ac:dyDescent="0.25">
      <c r="A36" s="1" t="s">
        <v>39</v>
      </c>
      <c r="B36" s="1" t="s">
        <v>87</v>
      </c>
      <c r="C36" s="1">
        <f>VLOOKUP(Table134[[#This Row],[Code]],'Main Storage'!A:D,3,0)</f>
        <v>1006</v>
      </c>
      <c r="D36" s="1">
        <f>VLOOKUP(Table134[[#This Row],[Code]],Connecticut!A:F,6,0)</f>
        <v>83</v>
      </c>
      <c r="E36" s="11"/>
      <c r="F36" s="1">
        <f>Table134[[#This Row],[Box]]-Table134[[#This Row],[Order]]</f>
        <v>83</v>
      </c>
    </row>
    <row r="37" spans="1:6" x14ac:dyDescent="0.25">
      <c r="A37" s="1" t="s">
        <v>40</v>
      </c>
      <c r="B37" s="1" t="s">
        <v>88</v>
      </c>
      <c r="C37" s="1">
        <f>VLOOKUP(Table134[[#This Row],[Code]],'Main Storage'!A:D,3,0)</f>
        <v>59</v>
      </c>
      <c r="D37" s="1">
        <f>VLOOKUP(Table134[[#This Row],[Code]],Connecticut!A:F,6,0)</f>
        <v>4</v>
      </c>
      <c r="E37" s="11"/>
      <c r="F37" s="1">
        <f>Table134[[#This Row],[Box]]-Table134[[#This Row],[Order]]</f>
        <v>4</v>
      </c>
    </row>
    <row r="38" spans="1:6" x14ac:dyDescent="0.25">
      <c r="A38" s="1" t="s">
        <v>41</v>
      </c>
      <c r="B38" s="1" t="s">
        <v>89</v>
      </c>
      <c r="C38" s="1">
        <f>VLOOKUP(Table134[[#This Row],[Code]],'Main Storage'!A:D,3,0)</f>
        <v>1087</v>
      </c>
      <c r="D38" s="1">
        <f>VLOOKUP(Table134[[#This Row],[Code]],Connecticut!A:F,6,0)</f>
        <v>90</v>
      </c>
      <c r="E38" s="11"/>
      <c r="F38" s="1">
        <f>Table134[[#This Row],[Box]]-Table134[[#This Row],[Order]]</f>
        <v>90</v>
      </c>
    </row>
    <row r="39" spans="1:6" x14ac:dyDescent="0.25">
      <c r="A39" s="1" t="s">
        <v>42</v>
      </c>
      <c r="B39" s="1" t="s">
        <v>90</v>
      </c>
      <c r="C39" s="1">
        <f>VLOOKUP(Table134[[#This Row],[Code]],'Main Storage'!A:D,3,0)</f>
        <v>281</v>
      </c>
      <c r="D39" s="1">
        <f>VLOOKUP(Table134[[#This Row],[Code]],Connecticut!A:F,6,0)</f>
        <v>23</v>
      </c>
      <c r="E39" s="11"/>
      <c r="F39" s="1">
        <f>Table134[[#This Row],[Box]]-Table134[[#This Row],[Order]]</f>
        <v>23</v>
      </c>
    </row>
    <row r="40" spans="1:6" x14ac:dyDescent="0.25">
      <c r="A40" s="1" t="s">
        <v>43</v>
      </c>
      <c r="B40" s="1" t="s">
        <v>91</v>
      </c>
      <c r="C40" s="1">
        <f>VLOOKUP(Table134[[#This Row],[Code]],'Main Storage'!A:D,3,0)</f>
        <v>1125</v>
      </c>
      <c r="D40" s="1">
        <f>VLOOKUP(Table134[[#This Row],[Code]],Connecticut!A:F,6,0)</f>
        <v>93</v>
      </c>
      <c r="E40" s="11"/>
      <c r="F40" s="1">
        <f>Table134[[#This Row],[Box]]-Table134[[#This Row],[Order]]</f>
        <v>93</v>
      </c>
    </row>
    <row r="41" spans="1:6" x14ac:dyDescent="0.25">
      <c r="A41" s="1" t="s">
        <v>44</v>
      </c>
      <c r="B41" s="1" t="s">
        <v>92</v>
      </c>
      <c r="C41" s="1">
        <f>VLOOKUP(Table134[[#This Row],[Code]],'Main Storage'!A:D,3,0)</f>
        <v>281</v>
      </c>
      <c r="D41" s="1">
        <f>VLOOKUP(Table134[[#This Row],[Code]],Connecticut!A:F,6,0)</f>
        <v>23</v>
      </c>
      <c r="E41" s="11"/>
      <c r="F41" s="1">
        <f>Table134[[#This Row],[Box]]-Table134[[#This Row],[Order]]</f>
        <v>23</v>
      </c>
    </row>
    <row r="42" spans="1:6" x14ac:dyDescent="0.25">
      <c r="A42" s="1" t="s">
        <v>45</v>
      </c>
      <c r="B42" s="1" t="s">
        <v>93</v>
      </c>
      <c r="C42" s="1">
        <f>VLOOKUP(Table134[[#This Row],[Code]],'Main Storage'!A:D,3,0)</f>
        <v>354</v>
      </c>
      <c r="D42" s="1">
        <f>VLOOKUP(Table134[[#This Row],[Code]],Connecticut!A:F,6,0)</f>
        <v>29</v>
      </c>
      <c r="E42" s="11"/>
      <c r="F42" s="1">
        <f>Table134[[#This Row],[Box]]-Table134[[#This Row],[Order]]</f>
        <v>29</v>
      </c>
    </row>
    <row r="43" spans="1:6" x14ac:dyDescent="0.25">
      <c r="A43" s="1" t="s">
        <v>46</v>
      </c>
      <c r="B43" s="1" t="s">
        <v>94</v>
      </c>
      <c r="C43" s="1">
        <f>VLOOKUP(Table134[[#This Row],[Code]],'Main Storage'!A:D,3,0)</f>
        <v>649</v>
      </c>
      <c r="D43" s="1">
        <f>VLOOKUP(Table134[[#This Row],[Code]],Connecticut!A:F,6,0)</f>
        <v>54</v>
      </c>
      <c r="E43" s="11"/>
      <c r="F43" s="1">
        <f>Table134[[#This Row],[Box]]-Table134[[#This Row],[Order]]</f>
        <v>54</v>
      </c>
    </row>
    <row r="44" spans="1:6" x14ac:dyDescent="0.25">
      <c r="A44" s="1" t="s">
        <v>47</v>
      </c>
      <c r="B44" s="1" t="s">
        <v>95</v>
      </c>
      <c r="C44" s="1">
        <f>VLOOKUP(Table134[[#This Row],[Code]],'Main Storage'!A:D,3,0)</f>
        <v>1322</v>
      </c>
      <c r="D44" s="1">
        <f>VLOOKUP(Table134[[#This Row],[Code]],Connecticut!A:F,6,0)</f>
        <v>110</v>
      </c>
      <c r="E44" s="11"/>
      <c r="F44" s="1">
        <f>Table134[[#This Row],[Box]]-Table134[[#This Row],[Order]]</f>
        <v>110</v>
      </c>
    </row>
    <row r="45" spans="1:6" x14ac:dyDescent="0.25">
      <c r="A45" s="1" t="s">
        <v>48</v>
      </c>
      <c r="B45" s="1" t="s">
        <v>96</v>
      </c>
      <c r="C45" s="1">
        <f>VLOOKUP(Table134[[#This Row],[Code]],'Main Storage'!A:D,3,0)</f>
        <v>1038</v>
      </c>
      <c r="D45" s="1">
        <f>VLOOKUP(Table134[[#This Row],[Code]],Connecticut!A:F,6,0)</f>
        <v>86</v>
      </c>
      <c r="E45" s="11"/>
      <c r="F45" s="1">
        <f>Table134[[#This Row],[Box]]-Table134[[#This Row],[Order]]</f>
        <v>86</v>
      </c>
    </row>
    <row r="46" spans="1:6" x14ac:dyDescent="0.25">
      <c r="A46" s="1" t="s">
        <v>49</v>
      </c>
      <c r="B46" s="1" t="s">
        <v>97</v>
      </c>
      <c r="C46" s="1">
        <f>VLOOKUP(Table134[[#This Row],[Code]],'Main Storage'!A:D,3,0)</f>
        <v>340</v>
      </c>
      <c r="D46" s="1">
        <f>VLOOKUP(Table134[[#This Row],[Code]],Connecticut!A:F,6,0)</f>
        <v>28</v>
      </c>
      <c r="E46" s="11"/>
      <c r="F46" s="1">
        <f>Table134[[#This Row],[Box]]-Table134[[#This Row],[Order]]</f>
        <v>28</v>
      </c>
    </row>
    <row r="47" spans="1:6" x14ac:dyDescent="0.25">
      <c r="A47" s="1" t="s">
        <v>50</v>
      </c>
      <c r="B47" s="1" t="s">
        <v>98</v>
      </c>
      <c r="C47" s="1">
        <f>VLOOKUP(Table134[[#This Row],[Code]],'Main Storage'!A:D,3,0)</f>
        <v>399</v>
      </c>
      <c r="D47" s="1">
        <f>VLOOKUP(Table134[[#This Row],[Code]],Connecticut!A:F,6,0)</f>
        <v>33</v>
      </c>
      <c r="E47" s="11"/>
      <c r="F47" s="1">
        <f>Table134[[#This Row],[Box]]-Table134[[#This Row],[Order]]</f>
        <v>33</v>
      </c>
    </row>
    <row r="48" spans="1:6" x14ac:dyDescent="0.25">
      <c r="A48" s="1" t="s">
        <v>51</v>
      </c>
      <c r="B48" s="1" t="s">
        <v>99</v>
      </c>
      <c r="C48" s="1">
        <f>VLOOKUP(Table134[[#This Row],[Code]],'Main Storage'!A:D,3,0)</f>
        <v>468</v>
      </c>
      <c r="D48" s="1">
        <f>VLOOKUP(Table134[[#This Row],[Code]],Connecticut!A:F,6,0)</f>
        <v>39</v>
      </c>
      <c r="E48" s="11"/>
      <c r="F48" s="1">
        <f>Table134[[#This Row],[Box]]-Table134[[#This Row],[Order]]</f>
        <v>39</v>
      </c>
    </row>
    <row r="49" spans="1:6" x14ac:dyDescent="0.25">
      <c r="A49" s="1" t="s">
        <v>52</v>
      </c>
      <c r="B49" s="1" t="s">
        <v>100</v>
      </c>
      <c r="C49" s="1">
        <f>VLOOKUP(Table134[[#This Row],[Code]],'Main Storage'!A:D,3,0)</f>
        <v>829</v>
      </c>
      <c r="D49" s="1">
        <f>VLOOKUP(Table134[[#This Row],[Code]],Connecticut!A:F,6,0)</f>
        <v>69</v>
      </c>
      <c r="E49" s="11"/>
      <c r="F49" s="1">
        <f>Table134[[#This Row],[Box]]-Table134[[#This Row],[Order]]</f>
        <v>69</v>
      </c>
    </row>
    <row r="50" spans="1:6" x14ac:dyDescent="0.25">
      <c r="A50" s="1" t="s">
        <v>53</v>
      </c>
      <c r="B50" s="1" t="s">
        <v>101</v>
      </c>
      <c r="C50" s="1">
        <f>VLOOKUP(Table134[[#This Row],[Code]],'Main Storage'!A:D,3,0)</f>
        <v>1420</v>
      </c>
      <c r="D50" s="1">
        <f>VLOOKUP(Table134[[#This Row],[Code]],Connecticut!A:F,6,0)</f>
        <v>118</v>
      </c>
      <c r="E50" s="11"/>
      <c r="F50" s="1">
        <f>Table134[[#This Row],[Box]]-Table134[[#This Row],[Order]]</f>
        <v>118</v>
      </c>
    </row>
    <row r="51" spans="1:6" x14ac:dyDescent="0.25">
      <c r="A51" s="1" t="s">
        <v>102</v>
      </c>
      <c r="B51" s="1" t="s">
        <v>152</v>
      </c>
      <c r="C51" s="1">
        <f>VLOOKUP(Table134[[#This Row],[Code]],'Main Storage'!A:D,3,0)</f>
        <v>765</v>
      </c>
      <c r="D51" s="1">
        <f>VLOOKUP(Table134[[#This Row],[Code]],Connecticut!A:F,6,0)</f>
        <v>15</v>
      </c>
      <c r="E51" s="11"/>
      <c r="F51" s="1">
        <f>Table134[[#This Row],[Box]]-Table134[[#This Row],[Order]]</f>
        <v>15</v>
      </c>
    </row>
    <row r="52" spans="1:6" x14ac:dyDescent="0.25">
      <c r="A52" s="1" t="s">
        <v>103</v>
      </c>
      <c r="B52" s="1" t="s">
        <v>153</v>
      </c>
      <c r="C52" s="1">
        <f>VLOOKUP(Table134[[#This Row],[Code]],'Main Storage'!A:D,3,0)</f>
        <v>916</v>
      </c>
      <c r="D52" s="1">
        <f>VLOOKUP(Table134[[#This Row],[Code]],Connecticut!A:F,6,0)</f>
        <v>19</v>
      </c>
      <c r="E52" s="11"/>
      <c r="F52" s="1">
        <f>Table134[[#This Row],[Box]]-Table134[[#This Row],[Order]]</f>
        <v>19</v>
      </c>
    </row>
    <row r="53" spans="1:6" x14ac:dyDescent="0.25">
      <c r="A53" s="1" t="s">
        <v>104</v>
      </c>
      <c r="B53" s="1" t="s">
        <v>154</v>
      </c>
      <c r="C53" s="1">
        <f>VLOOKUP(Table134[[#This Row],[Code]],'Main Storage'!A:D,3,0)</f>
        <v>1012</v>
      </c>
      <c r="D53" s="1">
        <f>VLOOKUP(Table134[[#This Row],[Code]],Connecticut!A:F,6,0)</f>
        <v>21</v>
      </c>
      <c r="E53" s="11"/>
      <c r="F53" s="1">
        <f>Table134[[#This Row],[Box]]-Table134[[#This Row],[Order]]</f>
        <v>21</v>
      </c>
    </row>
    <row r="54" spans="1:6" x14ac:dyDescent="0.25">
      <c r="A54" s="1" t="s">
        <v>105</v>
      </c>
      <c r="B54" s="1" t="s">
        <v>155</v>
      </c>
      <c r="C54" s="1">
        <f>VLOOKUP(Table134[[#This Row],[Code]],'Main Storage'!A:D,3,0)</f>
        <v>299</v>
      </c>
      <c r="D54" s="1">
        <f>VLOOKUP(Table134[[#This Row],[Code]],Connecticut!A:F,6,0)</f>
        <v>6</v>
      </c>
      <c r="E54" s="11"/>
      <c r="F54" s="1">
        <f>Table134[[#This Row],[Box]]-Table134[[#This Row],[Order]]</f>
        <v>6</v>
      </c>
    </row>
    <row r="55" spans="1:6" x14ac:dyDescent="0.25">
      <c r="A55" s="1" t="s">
        <v>106</v>
      </c>
      <c r="B55" s="1" t="s">
        <v>156</v>
      </c>
      <c r="C55" s="1">
        <f>VLOOKUP(Table134[[#This Row],[Code]],'Main Storage'!A:D,3,0)</f>
        <v>1361</v>
      </c>
      <c r="D55" s="1">
        <f>VLOOKUP(Table134[[#This Row],[Code]],Connecticut!A:F,6,0)</f>
        <v>28</v>
      </c>
      <c r="E55" s="11"/>
      <c r="F55" s="1">
        <f>Table134[[#This Row],[Box]]-Table134[[#This Row],[Order]]</f>
        <v>28</v>
      </c>
    </row>
    <row r="56" spans="1:6" x14ac:dyDescent="0.25">
      <c r="A56" s="1" t="s">
        <v>107</v>
      </c>
      <c r="B56" s="1" t="s">
        <v>157</v>
      </c>
      <c r="C56" s="1">
        <f>VLOOKUP(Table134[[#This Row],[Code]],'Main Storage'!A:D,3,0)</f>
        <v>621</v>
      </c>
      <c r="D56" s="1">
        <f>VLOOKUP(Table134[[#This Row],[Code]],Connecticut!A:F,6,0)</f>
        <v>12</v>
      </c>
      <c r="E56" s="11"/>
      <c r="F56" s="1">
        <f>Table134[[#This Row],[Box]]-Table134[[#This Row],[Order]]</f>
        <v>12</v>
      </c>
    </row>
    <row r="57" spans="1:6" x14ac:dyDescent="0.25">
      <c r="A57" s="1" t="s">
        <v>108</v>
      </c>
      <c r="B57" s="1" t="s">
        <v>158</v>
      </c>
      <c r="C57" s="1">
        <f>VLOOKUP(Table134[[#This Row],[Code]],'Main Storage'!A:D,3,0)</f>
        <v>775</v>
      </c>
      <c r="D57" s="1">
        <f>VLOOKUP(Table134[[#This Row],[Code]],Connecticut!A:F,6,0)</f>
        <v>16</v>
      </c>
      <c r="E57" s="11"/>
      <c r="F57" s="1">
        <f>Table134[[#This Row],[Box]]-Table134[[#This Row],[Order]]</f>
        <v>16</v>
      </c>
    </row>
    <row r="58" spans="1:6" x14ac:dyDescent="0.25">
      <c r="A58" s="1" t="s">
        <v>109</v>
      </c>
      <c r="B58" s="1" t="s">
        <v>159</v>
      </c>
      <c r="C58" s="1">
        <f>VLOOKUP(Table134[[#This Row],[Code]],'Main Storage'!A:D,3,0)</f>
        <v>316</v>
      </c>
      <c r="D58" s="1">
        <f>VLOOKUP(Table134[[#This Row],[Code]],Connecticut!A:F,6,0)</f>
        <v>6</v>
      </c>
      <c r="E58" s="11"/>
      <c r="F58" s="1">
        <f>Table134[[#This Row],[Box]]-Table134[[#This Row],[Order]]</f>
        <v>6</v>
      </c>
    </row>
    <row r="59" spans="1:6" x14ac:dyDescent="0.25">
      <c r="A59" s="1" t="s">
        <v>110</v>
      </c>
      <c r="B59" s="1" t="s">
        <v>160</v>
      </c>
      <c r="C59" s="1">
        <f>VLOOKUP(Table134[[#This Row],[Code]],'Main Storage'!A:D,3,0)</f>
        <v>553</v>
      </c>
      <c r="D59" s="1">
        <f>VLOOKUP(Table134[[#This Row],[Code]],Connecticut!A:F,6,0)</f>
        <v>11</v>
      </c>
      <c r="E59" s="11"/>
      <c r="F59" s="1">
        <f>Table134[[#This Row],[Box]]-Table134[[#This Row],[Order]]</f>
        <v>11</v>
      </c>
    </row>
    <row r="60" spans="1:6" x14ac:dyDescent="0.25">
      <c r="A60" s="1" t="s">
        <v>111</v>
      </c>
      <c r="B60" s="1" t="s">
        <v>161</v>
      </c>
      <c r="C60" s="1">
        <f>VLOOKUP(Table134[[#This Row],[Code]],'Main Storage'!A:D,3,0)</f>
        <v>130</v>
      </c>
      <c r="D60" s="1">
        <f>VLOOKUP(Table134[[#This Row],[Code]],Connecticut!A:F,6,0)</f>
        <v>2</v>
      </c>
      <c r="E60" s="11"/>
      <c r="F60" s="1">
        <f>Table134[[#This Row],[Box]]-Table134[[#This Row],[Order]]</f>
        <v>2</v>
      </c>
    </row>
    <row r="61" spans="1:6" x14ac:dyDescent="0.25">
      <c r="A61" s="1" t="s">
        <v>112</v>
      </c>
      <c r="B61" s="1" t="s">
        <v>162</v>
      </c>
      <c r="C61" s="1">
        <f>VLOOKUP(Table134[[#This Row],[Code]],'Main Storage'!A:D,3,0)</f>
        <v>890</v>
      </c>
      <c r="D61" s="1">
        <f>VLOOKUP(Table134[[#This Row],[Code]],Connecticut!A:F,6,0)</f>
        <v>18</v>
      </c>
      <c r="E61" s="11"/>
      <c r="F61" s="1">
        <f>Table134[[#This Row],[Box]]-Table134[[#This Row],[Order]]</f>
        <v>18</v>
      </c>
    </row>
    <row r="62" spans="1:6" x14ac:dyDescent="0.25">
      <c r="A62" s="1" t="s">
        <v>113</v>
      </c>
      <c r="B62" s="1" t="s">
        <v>163</v>
      </c>
      <c r="C62" s="1">
        <f>VLOOKUP(Table134[[#This Row],[Code]],'Main Storage'!A:D,3,0)</f>
        <v>255</v>
      </c>
      <c r="D62" s="1">
        <f>VLOOKUP(Table134[[#This Row],[Code]],Connecticut!A:F,6,0)</f>
        <v>5</v>
      </c>
      <c r="E62" s="11"/>
      <c r="F62" s="1">
        <f>Table134[[#This Row],[Box]]-Table134[[#This Row],[Order]]</f>
        <v>5</v>
      </c>
    </row>
    <row r="63" spans="1:6" x14ac:dyDescent="0.25">
      <c r="A63" s="1" t="s">
        <v>114</v>
      </c>
      <c r="B63" s="1" t="s">
        <v>164</v>
      </c>
      <c r="C63" s="1">
        <f>VLOOKUP(Table134[[#This Row],[Code]],'Main Storage'!A:D,3,0)</f>
        <v>1368</v>
      </c>
      <c r="D63" s="1">
        <f>VLOOKUP(Table134[[#This Row],[Code]],Connecticut!A:F,6,0)</f>
        <v>28</v>
      </c>
      <c r="E63" s="11"/>
      <c r="F63" s="1">
        <f>Table134[[#This Row],[Box]]-Table134[[#This Row],[Order]]</f>
        <v>28</v>
      </c>
    </row>
    <row r="64" spans="1:6" x14ac:dyDescent="0.25">
      <c r="A64" s="1" t="s">
        <v>115</v>
      </c>
      <c r="B64" s="1" t="s">
        <v>165</v>
      </c>
      <c r="C64" s="1">
        <f>VLOOKUP(Table134[[#This Row],[Code]],'Main Storage'!A:D,3,0)</f>
        <v>324</v>
      </c>
      <c r="D64" s="1">
        <f>VLOOKUP(Table134[[#This Row],[Code]],Connecticut!A:F,6,0)</f>
        <v>6</v>
      </c>
      <c r="E64" s="11"/>
      <c r="F64" s="1">
        <f>Table134[[#This Row],[Box]]-Table134[[#This Row],[Order]]</f>
        <v>6</v>
      </c>
    </row>
    <row r="65" spans="1:6" x14ac:dyDescent="0.25">
      <c r="A65" s="1" t="s">
        <v>116</v>
      </c>
      <c r="B65" s="1" t="s">
        <v>166</v>
      </c>
      <c r="C65" s="1">
        <f>VLOOKUP(Table134[[#This Row],[Code]],'Main Storage'!A:D,3,0)</f>
        <v>997</v>
      </c>
      <c r="D65" s="1">
        <f>VLOOKUP(Table134[[#This Row],[Code]],Connecticut!A:F,6,0)</f>
        <v>20</v>
      </c>
      <c r="E65" s="11"/>
      <c r="F65" s="1">
        <f>Table134[[#This Row],[Box]]-Table134[[#This Row],[Order]]</f>
        <v>20</v>
      </c>
    </row>
    <row r="66" spans="1:6" x14ac:dyDescent="0.25">
      <c r="A66" s="1" t="s">
        <v>117</v>
      </c>
      <c r="B66" s="1" t="s">
        <v>167</v>
      </c>
      <c r="C66" s="1">
        <f>VLOOKUP(Table134[[#This Row],[Code]],'Main Storage'!A:D,3,0)</f>
        <v>87</v>
      </c>
      <c r="D66" s="1">
        <f>VLOOKUP(Table134[[#This Row],[Code]],Connecticut!A:F,6,0)</f>
        <v>1</v>
      </c>
      <c r="E66" s="11"/>
      <c r="F66" s="1">
        <f>Table134[[#This Row],[Box]]-Table134[[#This Row],[Order]]</f>
        <v>1</v>
      </c>
    </row>
    <row r="67" spans="1:6" x14ac:dyDescent="0.25">
      <c r="A67" s="1" t="s">
        <v>118</v>
      </c>
      <c r="B67" s="1" t="s">
        <v>168</v>
      </c>
      <c r="C67" s="1">
        <f>VLOOKUP(Table134[[#This Row],[Code]],'Main Storage'!A:D,3,0)</f>
        <v>1436</v>
      </c>
      <c r="D67" s="1">
        <f>VLOOKUP(Table134[[#This Row],[Code]],Connecticut!A:F,6,0)</f>
        <v>29</v>
      </c>
      <c r="E67" s="11"/>
      <c r="F67" s="1">
        <f>Table134[[#This Row],[Box]]-Table134[[#This Row],[Order]]</f>
        <v>29</v>
      </c>
    </row>
    <row r="68" spans="1:6" x14ac:dyDescent="0.25">
      <c r="A68" s="1" t="s">
        <v>119</v>
      </c>
      <c r="B68" s="1" t="s">
        <v>169</v>
      </c>
      <c r="C68" s="1">
        <f>VLOOKUP(Table134[[#This Row],[Code]],'Main Storage'!A:D,3,0)</f>
        <v>1007</v>
      </c>
      <c r="D68" s="1">
        <f>VLOOKUP(Table134[[#This Row],[Code]],Connecticut!A:F,6,0)</f>
        <v>20</v>
      </c>
      <c r="E68" s="11"/>
      <c r="F68" s="1">
        <f>Table134[[#This Row],[Box]]-Table134[[#This Row],[Order]]</f>
        <v>20</v>
      </c>
    </row>
    <row r="69" spans="1:6" x14ac:dyDescent="0.25">
      <c r="A69" s="1" t="s">
        <v>120</v>
      </c>
      <c r="B69" s="1" t="s">
        <v>170</v>
      </c>
      <c r="C69" s="1">
        <f>VLOOKUP(Table134[[#This Row],[Code]],'Main Storage'!A:D,3,0)</f>
        <v>904</v>
      </c>
      <c r="D69" s="1">
        <f>VLOOKUP(Table134[[#This Row],[Code]],Connecticut!A:F,6,0)</f>
        <v>18</v>
      </c>
      <c r="E69" s="11"/>
      <c r="F69" s="1">
        <f>Table134[[#This Row],[Box]]-Table134[[#This Row],[Order]]</f>
        <v>18</v>
      </c>
    </row>
    <row r="70" spans="1:6" x14ac:dyDescent="0.25">
      <c r="A70" s="1" t="s">
        <v>121</v>
      </c>
      <c r="B70" s="1" t="s">
        <v>171</v>
      </c>
      <c r="C70" s="1">
        <f>VLOOKUP(Table134[[#This Row],[Code]],'Main Storage'!A:D,3,0)</f>
        <v>432</v>
      </c>
      <c r="D70" s="1">
        <f>VLOOKUP(Table134[[#This Row],[Code]],Connecticut!A:F,6,0)</f>
        <v>9</v>
      </c>
      <c r="E70" s="11"/>
      <c r="F70" s="1">
        <f>Table134[[#This Row],[Box]]-Table134[[#This Row],[Order]]</f>
        <v>9</v>
      </c>
    </row>
    <row r="71" spans="1:6" x14ac:dyDescent="0.25">
      <c r="A71" s="1" t="s">
        <v>122</v>
      </c>
      <c r="B71" s="1" t="s">
        <v>172</v>
      </c>
      <c r="C71" s="1">
        <f>VLOOKUP(Table134[[#This Row],[Code]],'Main Storage'!A:D,3,0)</f>
        <v>515</v>
      </c>
      <c r="D71" s="1">
        <f>VLOOKUP(Table134[[#This Row],[Code]],Connecticut!A:F,6,0)</f>
        <v>10</v>
      </c>
      <c r="E71" s="11"/>
      <c r="F71" s="1">
        <f>Table134[[#This Row],[Box]]-Table134[[#This Row],[Order]]</f>
        <v>10</v>
      </c>
    </row>
    <row r="72" spans="1:6" x14ac:dyDescent="0.25">
      <c r="A72" s="1" t="s">
        <v>123</v>
      </c>
      <c r="B72" s="1" t="s">
        <v>173</v>
      </c>
      <c r="C72" s="1">
        <f>VLOOKUP(Table134[[#This Row],[Code]],'Main Storage'!A:D,3,0)</f>
        <v>928</v>
      </c>
      <c r="D72" s="1">
        <f>VLOOKUP(Table134[[#This Row],[Code]],Connecticut!A:F,6,0)</f>
        <v>19</v>
      </c>
      <c r="E72" s="11"/>
      <c r="F72" s="1">
        <f>Table134[[#This Row],[Box]]-Table134[[#This Row],[Order]]</f>
        <v>19</v>
      </c>
    </row>
    <row r="73" spans="1:6" x14ac:dyDescent="0.25">
      <c r="A73" s="1" t="s">
        <v>124</v>
      </c>
      <c r="B73" s="1" t="s">
        <v>174</v>
      </c>
      <c r="C73" s="1">
        <f>VLOOKUP(Table134[[#This Row],[Code]],'Main Storage'!A:D,3,0)</f>
        <v>565</v>
      </c>
      <c r="D73" s="1">
        <f>VLOOKUP(Table134[[#This Row],[Code]],Connecticut!A:F,6,0)</f>
        <v>11</v>
      </c>
      <c r="E73" s="11"/>
      <c r="F73" s="1">
        <f>Table134[[#This Row],[Box]]-Table134[[#This Row],[Order]]</f>
        <v>11</v>
      </c>
    </row>
    <row r="74" spans="1:6" x14ac:dyDescent="0.25">
      <c r="A74" s="1" t="s">
        <v>125</v>
      </c>
      <c r="B74" s="1" t="s">
        <v>175</v>
      </c>
      <c r="C74" s="1">
        <f>VLOOKUP(Table134[[#This Row],[Code]],'Main Storage'!A:D,3,0)</f>
        <v>286</v>
      </c>
      <c r="D74" s="1">
        <f>VLOOKUP(Table134[[#This Row],[Code]],Connecticut!A:F,6,0)</f>
        <v>5</v>
      </c>
      <c r="E74" s="11"/>
      <c r="F74" s="1">
        <f>Table134[[#This Row],[Box]]-Table134[[#This Row],[Order]]</f>
        <v>5</v>
      </c>
    </row>
    <row r="75" spans="1:6" x14ac:dyDescent="0.25">
      <c r="A75" s="1" t="s">
        <v>126</v>
      </c>
      <c r="B75" s="1" t="s">
        <v>176</v>
      </c>
      <c r="C75" s="1">
        <f>VLOOKUP(Table134[[#This Row],[Code]],'Main Storage'!A:D,3,0)</f>
        <v>931</v>
      </c>
      <c r="D75" s="1">
        <f>VLOOKUP(Table134[[#This Row],[Code]],Connecticut!A:F,6,0)</f>
        <v>19</v>
      </c>
      <c r="E75" s="11"/>
      <c r="F75" s="1">
        <f>Table134[[#This Row],[Box]]-Table134[[#This Row],[Order]]</f>
        <v>19</v>
      </c>
    </row>
    <row r="76" spans="1:6" x14ac:dyDescent="0.25">
      <c r="A76" s="1" t="s">
        <v>127</v>
      </c>
      <c r="B76" s="1" t="s">
        <v>177</v>
      </c>
      <c r="C76" s="1">
        <f>VLOOKUP(Table134[[#This Row],[Code]],'Main Storage'!A:D,3,0)</f>
        <v>1045</v>
      </c>
      <c r="D76" s="1">
        <f>VLOOKUP(Table134[[#This Row],[Code]],Connecticut!A:F,6,0)</f>
        <v>21</v>
      </c>
      <c r="E76" s="11"/>
      <c r="F76" s="1">
        <f>Table134[[#This Row],[Box]]-Table134[[#This Row],[Order]]</f>
        <v>21</v>
      </c>
    </row>
    <row r="77" spans="1:6" x14ac:dyDescent="0.25">
      <c r="A77" s="1" t="s">
        <v>128</v>
      </c>
      <c r="B77" s="1" t="s">
        <v>178</v>
      </c>
      <c r="C77" s="1">
        <f>VLOOKUP(Table134[[#This Row],[Code]],'Main Storage'!A:D,3,0)</f>
        <v>1180</v>
      </c>
      <c r="D77" s="1">
        <f>VLOOKUP(Table134[[#This Row],[Code]],Connecticut!A:F,6,0)</f>
        <v>24</v>
      </c>
      <c r="E77" s="11"/>
      <c r="F77" s="1">
        <f>Table134[[#This Row],[Box]]-Table134[[#This Row],[Order]]</f>
        <v>24</v>
      </c>
    </row>
    <row r="78" spans="1:6" x14ac:dyDescent="0.25">
      <c r="A78" s="1" t="s">
        <v>129</v>
      </c>
      <c r="B78" s="1" t="s">
        <v>179</v>
      </c>
      <c r="C78" s="1">
        <f>VLOOKUP(Table134[[#This Row],[Code]],'Main Storage'!A:D,3,0)</f>
        <v>804</v>
      </c>
      <c r="D78" s="1">
        <f>VLOOKUP(Table134[[#This Row],[Code]],Connecticut!A:F,6,0)</f>
        <v>16</v>
      </c>
      <c r="E78" s="11"/>
      <c r="F78" s="1">
        <f>Table134[[#This Row],[Box]]-Table134[[#This Row],[Order]]</f>
        <v>16</v>
      </c>
    </row>
    <row r="79" spans="1:6" x14ac:dyDescent="0.25">
      <c r="A79" s="1" t="s">
        <v>130</v>
      </c>
      <c r="B79" s="1" t="s">
        <v>180</v>
      </c>
      <c r="C79" s="1">
        <f>VLOOKUP(Table134[[#This Row],[Code]],'Main Storage'!A:D,3,0)</f>
        <v>428</v>
      </c>
      <c r="D79" s="1">
        <f>VLOOKUP(Table134[[#This Row],[Code]],Connecticut!A:F,6,0)</f>
        <v>8</v>
      </c>
      <c r="E79" s="11"/>
      <c r="F79" s="1">
        <f>Table134[[#This Row],[Box]]-Table134[[#This Row],[Order]]</f>
        <v>8</v>
      </c>
    </row>
    <row r="80" spans="1:6" x14ac:dyDescent="0.25">
      <c r="A80" s="1" t="s">
        <v>131</v>
      </c>
      <c r="B80" s="1" t="s">
        <v>181</v>
      </c>
      <c r="C80" s="1">
        <f>VLOOKUP(Table134[[#This Row],[Code]],'Main Storage'!A:D,3,0)</f>
        <v>657</v>
      </c>
      <c r="D80" s="1">
        <f>VLOOKUP(Table134[[#This Row],[Code]],Connecticut!A:F,6,0)</f>
        <v>13</v>
      </c>
      <c r="E80" s="11"/>
      <c r="F80" s="1">
        <f>Table134[[#This Row],[Box]]-Table134[[#This Row],[Order]]</f>
        <v>13</v>
      </c>
    </row>
    <row r="81" spans="1:6" x14ac:dyDescent="0.25">
      <c r="A81" s="1" t="s">
        <v>132</v>
      </c>
      <c r="B81" s="1" t="s">
        <v>182</v>
      </c>
      <c r="C81" s="1">
        <f>VLOOKUP(Table134[[#This Row],[Code]],'Main Storage'!A:D,3,0)</f>
        <v>1289</v>
      </c>
      <c r="D81" s="1">
        <f>VLOOKUP(Table134[[#This Row],[Code]],Connecticut!A:F,6,0)</f>
        <v>26</v>
      </c>
      <c r="E81" s="11"/>
      <c r="F81" s="1">
        <f>Table134[[#This Row],[Box]]-Table134[[#This Row],[Order]]</f>
        <v>26</v>
      </c>
    </row>
    <row r="82" spans="1:6" x14ac:dyDescent="0.25">
      <c r="A82" s="1" t="s">
        <v>133</v>
      </c>
      <c r="B82" s="1" t="s">
        <v>183</v>
      </c>
      <c r="C82" s="1">
        <f>VLOOKUP(Table134[[#This Row],[Code]],'Main Storage'!A:D,3,0)</f>
        <v>1227</v>
      </c>
      <c r="D82" s="1">
        <f>VLOOKUP(Table134[[#This Row],[Code]],Connecticut!A:F,6,0)</f>
        <v>25</v>
      </c>
      <c r="E82" s="11"/>
      <c r="F82" s="1">
        <f>Table134[[#This Row],[Box]]-Table134[[#This Row],[Order]]</f>
        <v>25</v>
      </c>
    </row>
    <row r="83" spans="1:6" x14ac:dyDescent="0.25">
      <c r="A83" s="1" t="s">
        <v>134</v>
      </c>
      <c r="B83" s="1" t="s">
        <v>184</v>
      </c>
      <c r="C83" s="1">
        <f>VLOOKUP(Table134[[#This Row],[Code]],'Main Storage'!A:D,3,0)</f>
        <v>1376</v>
      </c>
      <c r="D83" s="1">
        <f>VLOOKUP(Table134[[#This Row],[Code]],Connecticut!A:F,6,0)</f>
        <v>28</v>
      </c>
      <c r="E83" s="11"/>
      <c r="F83" s="1">
        <f>Table134[[#This Row],[Box]]-Table134[[#This Row],[Order]]</f>
        <v>28</v>
      </c>
    </row>
    <row r="84" spans="1:6" x14ac:dyDescent="0.25">
      <c r="A84" s="1" t="s">
        <v>135</v>
      </c>
      <c r="B84" s="1" t="s">
        <v>185</v>
      </c>
      <c r="C84" s="1">
        <f>VLOOKUP(Table134[[#This Row],[Code]],'Main Storage'!A:D,3,0)</f>
        <v>436</v>
      </c>
      <c r="D84" s="1">
        <f>VLOOKUP(Table134[[#This Row],[Code]],Connecticut!A:F,6,0)</f>
        <v>9</v>
      </c>
      <c r="E84" s="11"/>
      <c r="F84" s="1">
        <f>Table134[[#This Row],[Box]]-Table134[[#This Row],[Order]]</f>
        <v>9</v>
      </c>
    </row>
    <row r="85" spans="1:6" x14ac:dyDescent="0.25">
      <c r="A85" s="1" t="s">
        <v>136</v>
      </c>
      <c r="B85" s="1" t="s">
        <v>186</v>
      </c>
      <c r="C85" s="1">
        <f>VLOOKUP(Table134[[#This Row],[Code]],'Main Storage'!A:D,3,0)</f>
        <v>1340</v>
      </c>
      <c r="D85" s="1">
        <f>VLOOKUP(Table134[[#This Row],[Code]],Connecticut!A:F,6,0)</f>
        <v>27</v>
      </c>
      <c r="E85" s="11"/>
      <c r="F85" s="1">
        <f>Table134[[#This Row],[Box]]-Table134[[#This Row],[Order]]</f>
        <v>27</v>
      </c>
    </row>
    <row r="86" spans="1:6" x14ac:dyDescent="0.25">
      <c r="A86" s="1" t="s">
        <v>137</v>
      </c>
      <c r="B86" s="1" t="s">
        <v>187</v>
      </c>
      <c r="C86" s="1">
        <f>VLOOKUP(Table134[[#This Row],[Code]],'Main Storage'!A:D,3,0)</f>
        <v>1218</v>
      </c>
      <c r="D86" s="1">
        <f>VLOOKUP(Table134[[#This Row],[Code]],Connecticut!A:F,6,0)</f>
        <v>25</v>
      </c>
      <c r="E86" s="11"/>
      <c r="F86" s="1">
        <f>Table134[[#This Row],[Box]]-Table134[[#This Row],[Order]]</f>
        <v>25</v>
      </c>
    </row>
    <row r="87" spans="1:6" x14ac:dyDescent="0.25">
      <c r="A87" s="1" t="s">
        <v>138</v>
      </c>
      <c r="B87" s="1" t="s">
        <v>188</v>
      </c>
      <c r="C87" s="1">
        <f>VLOOKUP(Table134[[#This Row],[Code]],'Main Storage'!A:D,3,0)</f>
        <v>848</v>
      </c>
      <c r="D87" s="1">
        <f>VLOOKUP(Table134[[#This Row],[Code]],Connecticut!A:F,6,0)</f>
        <v>17</v>
      </c>
      <c r="E87" s="11"/>
      <c r="F87" s="1">
        <f>Table134[[#This Row],[Box]]-Table134[[#This Row],[Order]]</f>
        <v>17</v>
      </c>
    </row>
    <row r="88" spans="1:6" x14ac:dyDescent="0.25">
      <c r="A88" s="1" t="s">
        <v>139</v>
      </c>
      <c r="B88" s="1" t="s">
        <v>189</v>
      </c>
      <c r="C88" s="1">
        <f>VLOOKUP(Table134[[#This Row],[Code]],'Main Storage'!A:D,3,0)</f>
        <v>1490</v>
      </c>
      <c r="D88" s="1">
        <f>VLOOKUP(Table134[[#This Row],[Code]],Connecticut!A:F,6,0)</f>
        <v>31</v>
      </c>
      <c r="E88" s="11"/>
      <c r="F88" s="1">
        <f>Table134[[#This Row],[Box]]-Table134[[#This Row],[Order]]</f>
        <v>31</v>
      </c>
    </row>
    <row r="89" spans="1:6" x14ac:dyDescent="0.25">
      <c r="A89" s="1" t="s">
        <v>140</v>
      </c>
      <c r="B89" s="1" t="s">
        <v>190</v>
      </c>
      <c r="C89" s="1">
        <f>VLOOKUP(Table134[[#This Row],[Code]],'Main Storage'!A:D,3,0)</f>
        <v>1162</v>
      </c>
      <c r="D89" s="1">
        <f>VLOOKUP(Table134[[#This Row],[Code]],Connecticut!A:F,6,0)</f>
        <v>24</v>
      </c>
      <c r="E89" s="11"/>
      <c r="F89" s="1">
        <f>Table134[[#This Row],[Box]]-Table134[[#This Row],[Order]]</f>
        <v>24</v>
      </c>
    </row>
    <row r="90" spans="1:6" x14ac:dyDescent="0.25">
      <c r="A90" s="1" t="s">
        <v>141</v>
      </c>
      <c r="B90" s="1" t="s">
        <v>191</v>
      </c>
      <c r="C90" s="1">
        <f>VLOOKUP(Table134[[#This Row],[Code]],'Main Storage'!A:D,3,0)</f>
        <v>431</v>
      </c>
      <c r="D90" s="1">
        <f>VLOOKUP(Table134[[#This Row],[Code]],Connecticut!A:F,6,0)</f>
        <v>8</v>
      </c>
      <c r="E90" s="11"/>
      <c r="F90" s="1">
        <f>Table134[[#This Row],[Box]]-Table134[[#This Row],[Order]]</f>
        <v>8</v>
      </c>
    </row>
    <row r="91" spans="1:6" x14ac:dyDescent="0.25">
      <c r="A91" s="1" t="s">
        <v>142</v>
      </c>
      <c r="B91" s="1" t="s">
        <v>192</v>
      </c>
      <c r="C91" s="1">
        <f>VLOOKUP(Table134[[#This Row],[Code]],'Main Storage'!A:D,3,0)</f>
        <v>496</v>
      </c>
      <c r="D91" s="1">
        <f>VLOOKUP(Table134[[#This Row],[Code]],Connecticut!A:F,6,0)</f>
        <v>10</v>
      </c>
      <c r="E91" s="11"/>
      <c r="F91" s="1">
        <f>Table134[[#This Row],[Box]]-Table134[[#This Row],[Order]]</f>
        <v>10</v>
      </c>
    </row>
    <row r="92" spans="1:6" x14ac:dyDescent="0.25">
      <c r="A92" s="1" t="s">
        <v>143</v>
      </c>
      <c r="B92" s="1" t="s">
        <v>193</v>
      </c>
      <c r="C92" s="1">
        <f>VLOOKUP(Table134[[#This Row],[Code]],'Main Storage'!A:D,3,0)</f>
        <v>1340</v>
      </c>
      <c r="D92" s="1">
        <f>VLOOKUP(Table134[[#This Row],[Code]],Connecticut!A:F,6,0)</f>
        <v>27</v>
      </c>
      <c r="E92" s="11"/>
      <c r="F92" s="1">
        <f>Table134[[#This Row],[Box]]-Table134[[#This Row],[Order]]</f>
        <v>27</v>
      </c>
    </row>
    <row r="93" spans="1:6" x14ac:dyDescent="0.25">
      <c r="A93" s="1" t="s">
        <v>144</v>
      </c>
      <c r="B93" s="1" t="s">
        <v>194</v>
      </c>
      <c r="C93" s="1">
        <f>VLOOKUP(Table134[[#This Row],[Code]],'Main Storage'!A:D,3,0)</f>
        <v>175</v>
      </c>
      <c r="D93" s="1">
        <f>VLOOKUP(Table134[[#This Row],[Code]],Connecticut!A:F,6,0)</f>
        <v>3</v>
      </c>
      <c r="E93" s="11"/>
      <c r="F93" s="1">
        <f>Table134[[#This Row],[Box]]-Table134[[#This Row],[Order]]</f>
        <v>3</v>
      </c>
    </row>
    <row r="94" spans="1:6" x14ac:dyDescent="0.25">
      <c r="A94" s="1" t="s">
        <v>145</v>
      </c>
      <c r="B94" s="1" t="s">
        <v>195</v>
      </c>
      <c r="C94" s="1">
        <f>VLOOKUP(Table134[[#This Row],[Code]],'Main Storage'!A:D,3,0)</f>
        <v>1164</v>
      </c>
      <c r="D94" s="1">
        <f>VLOOKUP(Table134[[#This Row],[Code]],Connecticut!A:F,6,0)</f>
        <v>24</v>
      </c>
      <c r="E94" s="11"/>
      <c r="F94" s="1">
        <f>Table134[[#This Row],[Box]]-Table134[[#This Row],[Order]]</f>
        <v>24</v>
      </c>
    </row>
    <row r="95" spans="1:6" x14ac:dyDescent="0.25">
      <c r="A95" s="1" t="s">
        <v>146</v>
      </c>
      <c r="B95" s="1" t="s">
        <v>196</v>
      </c>
      <c r="C95" s="1">
        <f>VLOOKUP(Table134[[#This Row],[Code]],'Main Storage'!A:D,3,0)</f>
        <v>610</v>
      </c>
      <c r="D95" s="1">
        <f>VLOOKUP(Table134[[#This Row],[Code]],Connecticut!A:F,6,0)</f>
        <v>12</v>
      </c>
      <c r="E95" s="11"/>
      <c r="F95" s="1">
        <f>Table134[[#This Row],[Box]]-Table134[[#This Row],[Order]]</f>
        <v>12</v>
      </c>
    </row>
    <row r="96" spans="1:6" x14ac:dyDescent="0.25">
      <c r="A96" s="1" t="s">
        <v>147</v>
      </c>
      <c r="B96" s="1" t="s">
        <v>197</v>
      </c>
      <c r="C96" s="1">
        <f>VLOOKUP(Table134[[#This Row],[Code]],'Main Storage'!A:D,3,0)</f>
        <v>26</v>
      </c>
      <c r="D96" s="1">
        <f>VLOOKUP(Table134[[#This Row],[Code]],Connecticut!A:F,6,0)</f>
        <v>0</v>
      </c>
      <c r="E96" s="11"/>
      <c r="F96" s="1">
        <f>Table134[[#This Row],[Box]]-Table134[[#This Row],[Order]]</f>
        <v>0</v>
      </c>
    </row>
    <row r="97" spans="1:6" x14ac:dyDescent="0.25">
      <c r="A97" s="1" t="s">
        <v>148</v>
      </c>
      <c r="B97" s="1" t="s">
        <v>198</v>
      </c>
      <c r="C97" s="1">
        <f>VLOOKUP(Table134[[#This Row],[Code]],'Main Storage'!A:D,3,0)</f>
        <v>122</v>
      </c>
      <c r="D97" s="1">
        <f>VLOOKUP(Table134[[#This Row],[Code]],Connecticut!A:F,6,0)</f>
        <v>2</v>
      </c>
      <c r="E97" s="11"/>
      <c r="F97" s="1">
        <f>Table134[[#This Row],[Box]]-Table134[[#This Row],[Order]]</f>
        <v>2</v>
      </c>
    </row>
    <row r="98" spans="1:6" x14ac:dyDescent="0.25">
      <c r="A98" s="1" t="s">
        <v>149</v>
      </c>
      <c r="B98" s="1" t="s">
        <v>199</v>
      </c>
      <c r="C98" s="1">
        <f>VLOOKUP(Table134[[#This Row],[Code]],'Main Storage'!A:D,3,0)</f>
        <v>154</v>
      </c>
      <c r="D98" s="1">
        <f>VLOOKUP(Table134[[#This Row],[Code]],Connecticut!A:F,6,0)</f>
        <v>3</v>
      </c>
      <c r="E98" s="11"/>
      <c r="F98" s="1">
        <f>Table134[[#This Row],[Box]]-Table134[[#This Row],[Order]]</f>
        <v>3</v>
      </c>
    </row>
    <row r="99" spans="1:6" x14ac:dyDescent="0.25">
      <c r="A99" s="1" t="s">
        <v>150</v>
      </c>
      <c r="B99" s="1" t="s">
        <v>200</v>
      </c>
      <c r="C99" s="1">
        <f>VLOOKUP(Table134[[#This Row],[Code]],'Main Storage'!A:D,3,0)</f>
        <v>1050</v>
      </c>
      <c r="D99" s="1">
        <f>VLOOKUP(Table134[[#This Row],[Code]],Connecticut!A:F,6,0)</f>
        <v>21</v>
      </c>
      <c r="E99" s="11"/>
      <c r="F99" s="1">
        <f>Table134[[#This Row],[Box]]-Table134[[#This Row],[Order]]</f>
        <v>21</v>
      </c>
    </row>
    <row r="100" spans="1:6" x14ac:dyDescent="0.25">
      <c r="A100" s="1" t="s">
        <v>151</v>
      </c>
      <c r="B100" s="1" t="s">
        <v>201</v>
      </c>
      <c r="C100" s="1">
        <f>VLOOKUP(Table134[[#This Row],[Code]],'Main Storage'!A:D,3,0)</f>
        <v>1337</v>
      </c>
      <c r="D100" s="1">
        <f>VLOOKUP(Table134[[#This Row],[Code]],Connecticut!A:F,6,0)</f>
        <v>27</v>
      </c>
      <c r="E100" s="11"/>
      <c r="F100" s="1">
        <f>Table134[[#This Row],[Box]]-Table134[[#This Row],[Order]]</f>
        <v>27</v>
      </c>
    </row>
    <row r="101" spans="1:6" x14ac:dyDescent="0.25">
      <c r="A101" s="1" t="s">
        <v>204</v>
      </c>
      <c r="B101" s="1" t="s">
        <v>205</v>
      </c>
      <c r="C101" s="1">
        <f>VLOOKUP(Table134[[#This Row],[Code]],'Main Storage'!A:D,3,0)</f>
        <v>330</v>
      </c>
      <c r="D101" s="1">
        <f>VLOOKUP(Table134[[#This Row],[Code]],Connecticut!A:F,6,0)</f>
        <v>2</v>
      </c>
      <c r="E101" s="11"/>
      <c r="F101" s="1">
        <f>Table134[[#This Row],[Box]]-Table134[[#This Row],[Order]]</f>
        <v>2</v>
      </c>
    </row>
    <row r="102" spans="1:6" x14ac:dyDescent="0.25">
      <c r="A102" s="1" t="s">
        <v>206</v>
      </c>
      <c r="B102" s="1" t="s">
        <v>207</v>
      </c>
      <c r="C102" s="1">
        <f>VLOOKUP(Table134[[#This Row],[Code]],'Main Storage'!A:D,3,0)</f>
        <v>737</v>
      </c>
      <c r="D102" s="1">
        <f>VLOOKUP(Table134[[#This Row],[Code]],Connecticut!A:F,6,0)</f>
        <v>6</v>
      </c>
      <c r="E102" s="11"/>
      <c r="F102" s="1">
        <f>Table134[[#This Row],[Box]]-Table134[[#This Row],[Order]]</f>
        <v>6</v>
      </c>
    </row>
    <row r="103" spans="1:6" x14ac:dyDescent="0.25">
      <c r="A103" s="1" t="s">
        <v>208</v>
      </c>
      <c r="B103" s="1" t="s">
        <v>209</v>
      </c>
      <c r="C103" s="1">
        <f>VLOOKUP(Table134[[#This Row],[Code]],'Main Storage'!A:D,3,0)</f>
        <v>811</v>
      </c>
      <c r="D103" s="1">
        <f>VLOOKUP(Table134[[#This Row],[Code]],Connecticut!A:F,6,0)</f>
        <v>6</v>
      </c>
      <c r="E103" s="11"/>
      <c r="F103" s="1">
        <f>Table134[[#This Row],[Box]]-Table134[[#This Row],[Order]]</f>
        <v>6</v>
      </c>
    </row>
    <row r="104" spans="1:6" x14ac:dyDescent="0.25">
      <c r="A104" s="1" t="s">
        <v>210</v>
      </c>
      <c r="B104" s="1" t="s">
        <v>211</v>
      </c>
      <c r="C104" s="1">
        <f>VLOOKUP(Table134[[#This Row],[Code]],'Main Storage'!A:D,3,0)</f>
        <v>533</v>
      </c>
      <c r="D104" s="1">
        <f>VLOOKUP(Table134[[#This Row],[Code]],Connecticut!A:F,6,0)</f>
        <v>4</v>
      </c>
      <c r="E104" s="11"/>
      <c r="F104" s="1">
        <f>Table134[[#This Row],[Box]]-Table134[[#This Row],[Order]]</f>
        <v>4</v>
      </c>
    </row>
    <row r="105" spans="1:6" x14ac:dyDescent="0.25">
      <c r="A105" s="1" t="s">
        <v>212</v>
      </c>
      <c r="B105" s="1" t="s">
        <v>213</v>
      </c>
      <c r="C105" s="1">
        <f>VLOOKUP(Table134[[#This Row],[Code]],'Main Storage'!A:D,3,0)</f>
        <v>1484</v>
      </c>
      <c r="D105" s="1">
        <f>VLOOKUP(Table134[[#This Row],[Code]],Connecticut!A:F,6,0)</f>
        <v>12</v>
      </c>
      <c r="E105" s="11"/>
      <c r="F105" s="1">
        <f>Table134[[#This Row],[Box]]-Table134[[#This Row],[Order]]</f>
        <v>12</v>
      </c>
    </row>
    <row r="106" spans="1:6" x14ac:dyDescent="0.25">
      <c r="A106" s="1" t="s">
        <v>214</v>
      </c>
      <c r="B106" s="1" t="s">
        <v>215</v>
      </c>
      <c r="C106" s="1">
        <f>VLOOKUP(Table134[[#This Row],[Code]],'Main Storage'!A:D,3,0)</f>
        <v>521</v>
      </c>
      <c r="D106" s="1">
        <f>VLOOKUP(Table134[[#This Row],[Code]],Connecticut!A:F,6,0)</f>
        <v>4</v>
      </c>
      <c r="E106" s="11"/>
      <c r="F106" s="1">
        <f>Table134[[#This Row],[Box]]-Table134[[#This Row],[Order]]</f>
        <v>4</v>
      </c>
    </row>
    <row r="107" spans="1:6" x14ac:dyDescent="0.25">
      <c r="A107" s="1" t="s">
        <v>216</v>
      </c>
      <c r="B107" s="1" t="s">
        <v>217</v>
      </c>
      <c r="C107" s="1">
        <f>VLOOKUP(Table134[[#This Row],[Code]],'Main Storage'!A:D,3,0)</f>
        <v>240</v>
      </c>
      <c r="D107" s="1">
        <f>VLOOKUP(Table134[[#This Row],[Code]],Connecticut!A:F,6,0)</f>
        <v>2</v>
      </c>
      <c r="E107" s="11"/>
      <c r="F107" s="1">
        <f>Table134[[#This Row],[Box]]-Table134[[#This Row],[Order]]</f>
        <v>2</v>
      </c>
    </row>
    <row r="108" spans="1:6" x14ac:dyDescent="0.25">
      <c r="A108" s="1" t="s">
        <v>218</v>
      </c>
      <c r="B108" s="1" t="s">
        <v>219</v>
      </c>
      <c r="C108" s="1">
        <f>VLOOKUP(Table134[[#This Row],[Code]],'Main Storage'!A:D,3,0)</f>
        <v>946</v>
      </c>
      <c r="D108" s="1">
        <f>VLOOKUP(Table134[[#This Row],[Code]],Connecticut!A:F,6,0)</f>
        <v>7</v>
      </c>
      <c r="E108" s="11"/>
      <c r="F108" s="1">
        <f>Table134[[#This Row],[Box]]-Table134[[#This Row],[Order]]</f>
        <v>7</v>
      </c>
    </row>
    <row r="109" spans="1:6" x14ac:dyDescent="0.25">
      <c r="A109" s="1" t="s">
        <v>220</v>
      </c>
      <c r="B109" s="1" t="s">
        <v>221</v>
      </c>
      <c r="C109" s="1">
        <f>VLOOKUP(Table134[[#This Row],[Code]],'Main Storage'!A:D,3,0)</f>
        <v>1447</v>
      </c>
      <c r="D109" s="1">
        <f>VLOOKUP(Table134[[#This Row],[Code]],Connecticut!A:F,6,0)</f>
        <v>12</v>
      </c>
      <c r="E109" s="11"/>
      <c r="F109" s="1">
        <f>Table134[[#This Row],[Box]]-Table134[[#This Row],[Order]]</f>
        <v>12</v>
      </c>
    </row>
    <row r="110" spans="1:6" x14ac:dyDescent="0.25">
      <c r="A110" s="1" t="s">
        <v>222</v>
      </c>
      <c r="B110" s="1" t="s">
        <v>223</v>
      </c>
      <c r="C110" s="1">
        <f>VLOOKUP(Table134[[#This Row],[Code]],'Main Storage'!A:D,3,0)</f>
        <v>489</v>
      </c>
      <c r="D110" s="1">
        <f>VLOOKUP(Table134[[#This Row],[Code]],Connecticut!A:F,6,0)</f>
        <v>4</v>
      </c>
      <c r="E110" s="11"/>
      <c r="F110" s="1">
        <f>Table134[[#This Row],[Box]]-Table134[[#This Row],[Order]]</f>
        <v>4</v>
      </c>
    </row>
    <row r="111" spans="1:6" x14ac:dyDescent="0.25">
      <c r="A111" s="1" t="s">
        <v>224</v>
      </c>
      <c r="B111" s="1" t="s">
        <v>225</v>
      </c>
      <c r="C111" s="1">
        <f>VLOOKUP(Table134[[#This Row],[Code]],'Main Storage'!A:D,3,0)</f>
        <v>641</v>
      </c>
      <c r="D111" s="1">
        <f>VLOOKUP(Table134[[#This Row],[Code]],Connecticut!A:F,6,0)</f>
        <v>5</v>
      </c>
      <c r="E111" s="11"/>
      <c r="F111" s="1">
        <f>Table134[[#This Row],[Box]]-Table134[[#This Row],[Order]]</f>
        <v>5</v>
      </c>
    </row>
    <row r="112" spans="1:6" x14ac:dyDescent="0.25">
      <c r="A112" s="1" t="s">
        <v>226</v>
      </c>
      <c r="B112" s="1" t="s">
        <v>227</v>
      </c>
      <c r="C112" s="1">
        <f>VLOOKUP(Table134[[#This Row],[Code]],'Main Storage'!A:D,3,0)</f>
        <v>790</v>
      </c>
      <c r="D112" s="1">
        <f>VLOOKUP(Table134[[#This Row],[Code]],Connecticut!A:F,6,0)</f>
        <v>6</v>
      </c>
      <c r="E112" s="11"/>
      <c r="F112" s="1">
        <f>Table134[[#This Row],[Box]]-Table134[[#This Row],[Order]]</f>
        <v>6</v>
      </c>
    </row>
    <row r="113" spans="1:6" x14ac:dyDescent="0.25">
      <c r="A113" s="1" t="s">
        <v>228</v>
      </c>
      <c r="B113" s="1" t="s">
        <v>229</v>
      </c>
      <c r="C113" s="1">
        <f>VLOOKUP(Table134[[#This Row],[Code]],'Main Storage'!A:D,3,0)</f>
        <v>1153</v>
      </c>
      <c r="D113" s="1">
        <f>VLOOKUP(Table134[[#This Row],[Code]],Connecticut!A:F,6,0)</f>
        <v>9</v>
      </c>
      <c r="E113" s="11"/>
      <c r="F113" s="1">
        <f>Table134[[#This Row],[Box]]-Table134[[#This Row],[Order]]</f>
        <v>9</v>
      </c>
    </row>
    <row r="114" spans="1:6" x14ac:dyDescent="0.25">
      <c r="A114" s="1" t="s">
        <v>230</v>
      </c>
      <c r="B114" s="1" t="s">
        <v>231</v>
      </c>
      <c r="C114" s="1">
        <f>VLOOKUP(Table134[[#This Row],[Code]],'Main Storage'!A:D,3,0)</f>
        <v>983</v>
      </c>
      <c r="D114" s="1">
        <f>VLOOKUP(Table134[[#This Row],[Code]],Connecticut!A:F,6,0)</f>
        <v>8</v>
      </c>
      <c r="E114" s="11"/>
      <c r="F114" s="1">
        <f>Table134[[#This Row],[Box]]-Table134[[#This Row],[Order]]</f>
        <v>8</v>
      </c>
    </row>
    <row r="115" spans="1:6" x14ac:dyDescent="0.25">
      <c r="A115" s="1" t="s">
        <v>232</v>
      </c>
      <c r="B115" s="1" t="s">
        <v>233</v>
      </c>
      <c r="C115" s="1">
        <f>VLOOKUP(Table134[[#This Row],[Code]],'Main Storage'!A:D,3,0)</f>
        <v>853</v>
      </c>
      <c r="D115" s="1">
        <f>VLOOKUP(Table134[[#This Row],[Code]],Connecticut!A:F,6,0)</f>
        <v>7</v>
      </c>
      <c r="E115" s="11"/>
      <c r="F115" s="1">
        <f>Table134[[#This Row],[Box]]-Table134[[#This Row],[Order]]</f>
        <v>7</v>
      </c>
    </row>
    <row r="116" spans="1:6" x14ac:dyDescent="0.25">
      <c r="A116" s="1" t="s">
        <v>234</v>
      </c>
      <c r="B116" s="1" t="s">
        <v>235</v>
      </c>
      <c r="C116" s="1">
        <f>VLOOKUP(Table134[[#This Row],[Code]],'Main Storage'!A:D,3,0)</f>
        <v>356</v>
      </c>
      <c r="D116" s="1">
        <f>VLOOKUP(Table134[[#This Row],[Code]],Connecticut!A:F,6,0)</f>
        <v>2</v>
      </c>
      <c r="E116" s="11"/>
      <c r="F116" s="1">
        <f>Table134[[#This Row],[Box]]-Table134[[#This Row],[Order]]</f>
        <v>2</v>
      </c>
    </row>
    <row r="117" spans="1:6" x14ac:dyDescent="0.25">
      <c r="A117" s="1" t="s">
        <v>236</v>
      </c>
      <c r="B117" s="1" t="s">
        <v>237</v>
      </c>
      <c r="C117" s="1">
        <f>VLOOKUP(Table134[[#This Row],[Code]],'Main Storage'!A:D,3,0)</f>
        <v>556</v>
      </c>
      <c r="D117" s="1">
        <f>VLOOKUP(Table134[[#This Row],[Code]],Connecticut!A:F,6,0)</f>
        <v>4</v>
      </c>
      <c r="E117" s="11"/>
      <c r="F117" s="1">
        <f>Table134[[#This Row],[Box]]-Table134[[#This Row],[Order]]</f>
        <v>4</v>
      </c>
    </row>
    <row r="118" spans="1:6" x14ac:dyDescent="0.25">
      <c r="A118" s="1" t="s">
        <v>238</v>
      </c>
      <c r="B118" s="1" t="s">
        <v>239</v>
      </c>
      <c r="C118" s="1">
        <f>VLOOKUP(Table134[[#This Row],[Code]],'Main Storage'!A:D,3,0)</f>
        <v>768</v>
      </c>
      <c r="D118" s="1">
        <f>VLOOKUP(Table134[[#This Row],[Code]],Connecticut!A:F,6,0)</f>
        <v>6</v>
      </c>
      <c r="E118" s="11"/>
      <c r="F118" s="1">
        <f>Table134[[#This Row],[Box]]-Table134[[#This Row],[Order]]</f>
        <v>6</v>
      </c>
    </row>
    <row r="119" spans="1:6" x14ac:dyDescent="0.25">
      <c r="A119" s="1" t="s">
        <v>240</v>
      </c>
      <c r="B119" s="1" t="s">
        <v>241</v>
      </c>
      <c r="C119" s="1">
        <f>VLOOKUP(Table134[[#This Row],[Code]],'Main Storage'!A:D,3,0)</f>
        <v>582</v>
      </c>
      <c r="D119" s="1">
        <f>VLOOKUP(Table134[[#This Row],[Code]],Connecticut!A:F,6,0)</f>
        <v>4</v>
      </c>
      <c r="E119" s="11"/>
      <c r="F119" s="1">
        <f>Table134[[#This Row],[Box]]-Table134[[#This Row],[Order]]</f>
        <v>4</v>
      </c>
    </row>
    <row r="120" spans="1:6" x14ac:dyDescent="0.25">
      <c r="A120" s="1" t="s">
        <v>242</v>
      </c>
      <c r="B120" s="1" t="s">
        <v>243</v>
      </c>
      <c r="C120" s="1">
        <f>VLOOKUP(Table134[[#This Row],[Code]],'Main Storage'!A:D,3,0)</f>
        <v>467</v>
      </c>
      <c r="D120" s="1">
        <f>VLOOKUP(Table134[[#This Row],[Code]],Connecticut!A:F,6,0)</f>
        <v>3</v>
      </c>
      <c r="E120" s="11"/>
      <c r="F120" s="1">
        <f>Table134[[#This Row],[Box]]-Table134[[#This Row],[Order]]</f>
        <v>3</v>
      </c>
    </row>
    <row r="121" spans="1:6" x14ac:dyDescent="0.25">
      <c r="A121" s="1" t="s">
        <v>244</v>
      </c>
      <c r="B121" s="1" t="s">
        <v>245</v>
      </c>
      <c r="C121" s="1">
        <f>VLOOKUP(Table134[[#This Row],[Code]],'Main Storage'!A:D,3,0)</f>
        <v>47</v>
      </c>
      <c r="D121" s="1">
        <f>VLOOKUP(Table134[[#This Row],[Code]],Connecticut!A:F,6,0)</f>
        <v>0</v>
      </c>
      <c r="E121" s="11"/>
      <c r="F121" s="1">
        <f>Table134[[#This Row],[Box]]-Table134[[#This Row],[Order]]</f>
        <v>0</v>
      </c>
    </row>
    <row r="122" spans="1:6" x14ac:dyDescent="0.25">
      <c r="A122" s="1" t="s">
        <v>246</v>
      </c>
      <c r="B122" s="1" t="s">
        <v>247</v>
      </c>
      <c r="C122" s="1">
        <f>VLOOKUP(Table134[[#This Row],[Code]],'Main Storage'!A:D,3,0)</f>
        <v>463</v>
      </c>
      <c r="D122" s="1">
        <f>VLOOKUP(Table134[[#This Row],[Code]],Connecticut!A:F,6,0)</f>
        <v>3</v>
      </c>
      <c r="E122" s="11"/>
      <c r="F122" s="1">
        <f>Table134[[#This Row],[Box]]-Table134[[#This Row],[Order]]</f>
        <v>3</v>
      </c>
    </row>
    <row r="123" spans="1:6" x14ac:dyDescent="0.25">
      <c r="A123" s="1" t="s">
        <v>248</v>
      </c>
      <c r="B123" s="1" t="s">
        <v>249</v>
      </c>
      <c r="C123" s="1">
        <f>VLOOKUP(Table134[[#This Row],[Code]],'Main Storage'!A:D,3,0)</f>
        <v>1434</v>
      </c>
      <c r="D123" s="1">
        <f>VLOOKUP(Table134[[#This Row],[Code]],Connecticut!A:F,6,0)</f>
        <v>11</v>
      </c>
      <c r="E123" s="11"/>
      <c r="F123" s="1">
        <f>Table134[[#This Row],[Box]]-Table134[[#This Row],[Order]]</f>
        <v>11</v>
      </c>
    </row>
    <row r="124" spans="1:6" x14ac:dyDescent="0.25">
      <c r="A124" s="1" t="s">
        <v>250</v>
      </c>
      <c r="B124" s="1" t="s">
        <v>251</v>
      </c>
      <c r="C124" s="1">
        <f>VLOOKUP(Table134[[#This Row],[Code]],'Main Storage'!A:D,3,0)</f>
        <v>399</v>
      </c>
      <c r="D124" s="1">
        <f>VLOOKUP(Table134[[#This Row],[Code]],Connecticut!A:F,6,0)</f>
        <v>3</v>
      </c>
      <c r="E124" s="11"/>
      <c r="F124" s="1">
        <f>Table134[[#This Row],[Box]]-Table134[[#This Row],[Order]]</f>
        <v>3</v>
      </c>
    </row>
    <row r="125" spans="1:6" x14ac:dyDescent="0.25">
      <c r="A125" s="1" t="s">
        <v>252</v>
      </c>
      <c r="B125" s="1" t="s">
        <v>253</v>
      </c>
      <c r="C125" s="1">
        <f>VLOOKUP(Table134[[#This Row],[Code]],'Main Storage'!A:D,3,0)</f>
        <v>910</v>
      </c>
      <c r="D125" s="1">
        <f>VLOOKUP(Table134[[#This Row],[Code]],Connecticut!A:F,6,0)</f>
        <v>7</v>
      </c>
      <c r="E125" s="11"/>
      <c r="F125" s="1">
        <f>Table134[[#This Row],[Box]]-Table134[[#This Row],[Order]]</f>
        <v>7</v>
      </c>
    </row>
    <row r="126" spans="1:6" x14ac:dyDescent="0.25">
      <c r="A126" s="1" t="s">
        <v>254</v>
      </c>
      <c r="B126" s="1" t="s">
        <v>255</v>
      </c>
      <c r="C126" s="1">
        <f>VLOOKUP(Table134[[#This Row],[Code]],'Main Storage'!A:D,3,0)</f>
        <v>710</v>
      </c>
      <c r="D126" s="1">
        <f>VLOOKUP(Table134[[#This Row],[Code]],Connecticut!A:F,6,0)</f>
        <v>5</v>
      </c>
      <c r="E126" s="11"/>
      <c r="F126" s="1">
        <f>Table134[[#This Row],[Box]]-Table134[[#This Row],[Order]]</f>
        <v>5</v>
      </c>
    </row>
    <row r="127" spans="1:6" x14ac:dyDescent="0.25">
      <c r="A127" s="1" t="s">
        <v>256</v>
      </c>
      <c r="B127" s="1" t="s">
        <v>257</v>
      </c>
      <c r="C127" s="1">
        <f>VLOOKUP(Table134[[#This Row],[Code]],'Main Storage'!A:D,3,0)</f>
        <v>977</v>
      </c>
      <c r="D127" s="1">
        <f>VLOOKUP(Table134[[#This Row],[Code]],Connecticut!A:F,6,0)</f>
        <v>8</v>
      </c>
      <c r="E127" s="11"/>
      <c r="F127" s="1">
        <f>Table134[[#This Row],[Box]]-Table134[[#This Row],[Order]]</f>
        <v>8</v>
      </c>
    </row>
    <row r="128" spans="1:6" x14ac:dyDescent="0.25">
      <c r="A128" s="1" t="s">
        <v>258</v>
      </c>
      <c r="B128" s="1" t="s">
        <v>259</v>
      </c>
      <c r="C128" s="1">
        <f>VLOOKUP(Table134[[#This Row],[Code]],'Main Storage'!A:D,3,0)</f>
        <v>592</v>
      </c>
      <c r="D128" s="1">
        <f>VLOOKUP(Table134[[#This Row],[Code]],Connecticut!A:F,6,0)</f>
        <v>4</v>
      </c>
      <c r="E128" s="11"/>
      <c r="F128" s="1">
        <f>Table134[[#This Row],[Box]]-Table134[[#This Row],[Order]]</f>
        <v>4</v>
      </c>
    </row>
    <row r="129" spans="1:6" x14ac:dyDescent="0.25">
      <c r="A129" s="1" t="s">
        <v>260</v>
      </c>
      <c r="B129" s="1" t="s">
        <v>261</v>
      </c>
      <c r="C129" s="1">
        <f>VLOOKUP(Table134[[#This Row],[Code]],'Main Storage'!A:D,3,0)</f>
        <v>576</v>
      </c>
      <c r="D129" s="1">
        <f>VLOOKUP(Table134[[#This Row],[Code]],Connecticut!A:F,6,0)</f>
        <v>4</v>
      </c>
      <c r="E129" s="11"/>
      <c r="F129" s="1">
        <f>Table134[[#This Row],[Box]]-Table134[[#This Row],[Order]]</f>
        <v>4</v>
      </c>
    </row>
    <row r="130" spans="1:6" x14ac:dyDescent="0.25">
      <c r="A130" s="1" t="s">
        <v>262</v>
      </c>
      <c r="B130" s="1" t="s">
        <v>263</v>
      </c>
      <c r="C130" s="1">
        <f>VLOOKUP(Table134[[#This Row],[Code]],'Main Storage'!A:D,3,0)</f>
        <v>565</v>
      </c>
      <c r="D130" s="1">
        <f>VLOOKUP(Table134[[#This Row],[Code]],Connecticut!A:F,6,0)</f>
        <v>4</v>
      </c>
      <c r="E130" s="11"/>
      <c r="F130" s="1">
        <f>Table134[[#This Row],[Box]]-Table134[[#This Row],[Order]]</f>
        <v>4</v>
      </c>
    </row>
    <row r="131" spans="1:6" x14ac:dyDescent="0.25">
      <c r="A131" s="1" t="s">
        <v>264</v>
      </c>
      <c r="B131" s="1" t="s">
        <v>265</v>
      </c>
      <c r="C131" s="1">
        <f>VLOOKUP(Table134[[#This Row],[Code]],'Main Storage'!A:D,3,0)</f>
        <v>931</v>
      </c>
      <c r="D131" s="1">
        <f>VLOOKUP(Table134[[#This Row],[Code]],Connecticut!A:F,6,0)</f>
        <v>7</v>
      </c>
      <c r="E131" s="11"/>
      <c r="F131" s="1">
        <f>Table134[[#This Row],[Box]]-Table134[[#This Row],[Order]]</f>
        <v>7</v>
      </c>
    </row>
    <row r="132" spans="1:6" x14ac:dyDescent="0.25">
      <c r="A132" s="1" t="s">
        <v>266</v>
      </c>
      <c r="B132" s="1" t="s">
        <v>267</v>
      </c>
      <c r="C132" s="1">
        <f>VLOOKUP(Table134[[#This Row],[Code]],'Main Storage'!A:D,3,0)</f>
        <v>791</v>
      </c>
      <c r="D132" s="1">
        <f>VLOOKUP(Table134[[#This Row],[Code]],Connecticut!A:F,6,0)</f>
        <v>6</v>
      </c>
      <c r="E132" s="11"/>
      <c r="F132" s="1">
        <f>Table134[[#This Row],[Box]]-Table134[[#This Row],[Order]]</f>
        <v>6</v>
      </c>
    </row>
    <row r="133" spans="1:6" x14ac:dyDescent="0.25">
      <c r="A133" s="1" t="s">
        <v>268</v>
      </c>
      <c r="B133" s="1" t="s">
        <v>269</v>
      </c>
      <c r="C133" s="1">
        <f>VLOOKUP(Table134[[#This Row],[Code]],'Main Storage'!A:D,3,0)</f>
        <v>274</v>
      </c>
      <c r="D133" s="1">
        <f>VLOOKUP(Table134[[#This Row],[Code]],Connecticut!A:F,6,0)</f>
        <v>2</v>
      </c>
      <c r="E133" s="11"/>
      <c r="F133" s="1">
        <f>Table134[[#This Row],[Box]]-Table134[[#This Row],[Order]]</f>
        <v>2</v>
      </c>
    </row>
    <row r="134" spans="1:6" x14ac:dyDescent="0.25">
      <c r="A134" s="1" t="s">
        <v>270</v>
      </c>
      <c r="B134" s="1" t="s">
        <v>271</v>
      </c>
      <c r="C134" s="1">
        <f>VLOOKUP(Table134[[#This Row],[Code]],'Main Storage'!A:D,3,0)</f>
        <v>640</v>
      </c>
      <c r="D134" s="1">
        <f>VLOOKUP(Table134[[#This Row],[Code]],Connecticut!A:F,6,0)</f>
        <v>5</v>
      </c>
      <c r="E134" s="11"/>
      <c r="F134" s="1">
        <f>Table134[[#This Row],[Box]]-Table134[[#This Row],[Order]]</f>
        <v>5</v>
      </c>
    </row>
    <row r="135" spans="1:6" x14ac:dyDescent="0.25">
      <c r="A135" s="1" t="s">
        <v>272</v>
      </c>
      <c r="B135" s="1" t="s">
        <v>273</v>
      </c>
      <c r="C135" s="1">
        <f>VLOOKUP(Table134[[#This Row],[Code]],'Main Storage'!A:D,3,0)</f>
        <v>1239</v>
      </c>
      <c r="D135" s="1">
        <f>VLOOKUP(Table134[[#This Row],[Code]],Connecticut!A:F,6,0)</f>
        <v>10</v>
      </c>
      <c r="E135" s="11"/>
      <c r="F135" s="1">
        <f>Table134[[#This Row],[Box]]-Table134[[#This Row],[Order]]</f>
        <v>10</v>
      </c>
    </row>
    <row r="136" spans="1:6" x14ac:dyDescent="0.25">
      <c r="A136" s="1" t="s">
        <v>274</v>
      </c>
      <c r="B136" s="1" t="s">
        <v>275</v>
      </c>
      <c r="C136" s="1">
        <f>VLOOKUP(Table134[[#This Row],[Code]],'Main Storage'!A:D,3,0)</f>
        <v>359</v>
      </c>
      <c r="D136" s="1">
        <f>VLOOKUP(Table134[[#This Row],[Code]],Connecticut!A:F,6,0)</f>
        <v>2</v>
      </c>
      <c r="E136" s="11"/>
      <c r="F136" s="1">
        <f>Table134[[#This Row],[Box]]-Table134[[#This Row],[Order]]</f>
        <v>2</v>
      </c>
    </row>
    <row r="137" spans="1:6" x14ac:dyDescent="0.25">
      <c r="A137" s="1" t="s">
        <v>276</v>
      </c>
      <c r="B137" s="1" t="s">
        <v>277</v>
      </c>
      <c r="C137" s="1">
        <f>VLOOKUP(Table134[[#This Row],[Code]],'Main Storage'!A:D,3,0)</f>
        <v>495</v>
      </c>
      <c r="D137" s="1">
        <f>VLOOKUP(Table134[[#This Row],[Code]],Connecticut!A:F,6,0)</f>
        <v>4</v>
      </c>
      <c r="E137" s="11"/>
      <c r="F137" s="1">
        <f>Table134[[#This Row],[Box]]-Table134[[#This Row],[Order]]</f>
        <v>4</v>
      </c>
    </row>
    <row r="138" spans="1:6" x14ac:dyDescent="0.25">
      <c r="A138" s="1" t="s">
        <v>278</v>
      </c>
      <c r="B138" s="1" t="s">
        <v>279</v>
      </c>
      <c r="C138" s="1">
        <f>VLOOKUP(Table134[[#This Row],[Code]],'Main Storage'!A:D,3,0)</f>
        <v>481</v>
      </c>
      <c r="D138" s="1">
        <f>VLOOKUP(Table134[[#This Row],[Code]],Connecticut!A:F,6,0)</f>
        <v>4</v>
      </c>
      <c r="E138" s="11"/>
      <c r="F138" s="1">
        <f>Table134[[#This Row],[Box]]-Table134[[#This Row],[Order]]</f>
        <v>4</v>
      </c>
    </row>
    <row r="139" spans="1:6" x14ac:dyDescent="0.25">
      <c r="A139" s="1" t="s">
        <v>280</v>
      </c>
      <c r="B139" s="1" t="s">
        <v>281</v>
      </c>
      <c r="C139" s="1">
        <f>VLOOKUP(Table134[[#This Row],[Code]],'Main Storage'!A:D,3,0)</f>
        <v>872</v>
      </c>
      <c r="D139" s="1">
        <f>VLOOKUP(Table134[[#This Row],[Code]],Connecticut!A:F,6,0)</f>
        <v>7</v>
      </c>
      <c r="E139" s="11"/>
      <c r="F139" s="1">
        <f>Table134[[#This Row],[Box]]-Table134[[#This Row],[Order]]</f>
        <v>7</v>
      </c>
    </row>
    <row r="140" spans="1:6" x14ac:dyDescent="0.25">
      <c r="A140" s="1" t="s">
        <v>282</v>
      </c>
      <c r="B140" s="1" t="s">
        <v>283</v>
      </c>
      <c r="C140" s="1">
        <f>VLOOKUP(Table134[[#This Row],[Code]],'Main Storage'!A:D,3,0)</f>
        <v>864</v>
      </c>
      <c r="D140" s="1">
        <f>VLOOKUP(Table134[[#This Row],[Code]],Connecticut!A:F,6,0)</f>
        <v>7</v>
      </c>
      <c r="E140" s="11"/>
      <c r="F140" s="1">
        <f>Table134[[#This Row],[Box]]-Table134[[#This Row],[Order]]</f>
        <v>7</v>
      </c>
    </row>
    <row r="141" spans="1:6" x14ac:dyDescent="0.25">
      <c r="A141" s="1" t="s">
        <v>284</v>
      </c>
      <c r="B141" s="1" t="s">
        <v>285</v>
      </c>
      <c r="C141" s="1">
        <f>VLOOKUP(Table134[[#This Row],[Code]],'Main Storage'!A:D,3,0)</f>
        <v>1498</v>
      </c>
      <c r="D141" s="1">
        <f>VLOOKUP(Table134[[#This Row],[Code]],Connecticut!A:F,6,0)</f>
        <v>12</v>
      </c>
      <c r="E141" s="11"/>
      <c r="F141" s="1">
        <f>Table134[[#This Row],[Box]]-Table134[[#This Row],[Order]]</f>
        <v>12</v>
      </c>
    </row>
    <row r="142" spans="1:6" x14ac:dyDescent="0.25">
      <c r="A142" s="1" t="s">
        <v>286</v>
      </c>
      <c r="B142" s="1" t="s">
        <v>287</v>
      </c>
      <c r="C142" s="1">
        <f>VLOOKUP(Table134[[#This Row],[Code]],'Main Storage'!A:D,3,0)</f>
        <v>254</v>
      </c>
      <c r="D142" s="1">
        <f>VLOOKUP(Table134[[#This Row],[Code]],Connecticut!A:F,6,0)</f>
        <v>2</v>
      </c>
      <c r="E142" s="11"/>
      <c r="F142" s="1">
        <f>Table134[[#This Row],[Box]]-Table134[[#This Row],[Order]]</f>
        <v>2</v>
      </c>
    </row>
    <row r="143" spans="1:6" x14ac:dyDescent="0.25">
      <c r="A143" s="1" t="s">
        <v>288</v>
      </c>
      <c r="B143" s="1" t="s">
        <v>289</v>
      </c>
      <c r="C143" s="1">
        <f>VLOOKUP(Table134[[#This Row],[Code]],'Main Storage'!A:D,3,0)</f>
        <v>145</v>
      </c>
      <c r="D143" s="1">
        <f>VLOOKUP(Table134[[#This Row],[Code]],Connecticut!A:F,6,0)</f>
        <v>1</v>
      </c>
      <c r="E143" s="11"/>
      <c r="F143" s="1">
        <f>Table134[[#This Row],[Box]]-Table134[[#This Row],[Order]]</f>
        <v>1</v>
      </c>
    </row>
    <row r="144" spans="1:6" x14ac:dyDescent="0.25">
      <c r="A144" s="1" t="s">
        <v>290</v>
      </c>
      <c r="B144" s="1" t="s">
        <v>291</v>
      </c>
      <c r="C144" s="1">
        <f>VLOOKUP(Table134[[#This Row],[Code]],'Main Storage'!A:D,3,0)</f>
        <v>193</v>
      </c>
      <c r="D144" s="1">
        <f>VLOOKUP(Table134[[#This Row],[Code]],Connecticut!A:F,6,0)</f>
        <v>1</v>
      </c>
      <c r="E144" s="11"/>
      <c r="F144" s="1">
        <f>Table134[[#This Row],[Box]]-Table134[[#This Row],[Order]]</f>
        <v>1</v>
      </c>
    </row>
    <row r="145" spans="1:6" x14ac:dyDescent="0.25">
      <c r="A145" s="1" t="s">
        <v>292</v>
      </c>
      <c r="B145" s="1" t="s">
        <v>293</v>
      </c>
      <c r="C145" s="1">
        <f>VLOOKUP(Table134[[#This Row],[Code]],'Main Storage'!A:D,3,0)</f>
        <v>1478</v>
      </c>
      <c r="D145" s="1">
        <f>VLOOKUP(Table134[[#This Row],[Code]],Connecticut!A:F,6,0)</f>
        <v>12</v>
      </c>
      <c r="E145" s="11"/>
      <c r="F145" s="1">
        <f>Table134[[#This Row],[Box]]-Table134[[#This Row],[Order]]</f>
        <v>12</v>
      </c>
    </row>
    <row r="146" spans="1:6" x14ac:dyDescent="0.25">
      <c r="A146" s="1" t="s">
        <v>294</v>
      </c>
      <c r="B146" s="1" t="s">
        <v>295</v>
      </c>
      <c r="C146" s="1">
        <f>VLOOKUP(Table134[[#This Row],[Code]],'Main Storage'!A:D,3,0)</f>
        <v>958</v>
      </c>
      <c r="D146" s="1">
        <f>VLOOKUP(Table134[[#This Row],[Code]],Connecticut!A:F,6,0)</f>
        <v>7</v>
      </c>
      <c r="E146" s="11"/>
      <c r="F146" s="1">
        <f>Table134[[#This Row],[Box]]-Table134[[#This Row],[Order]]</f>
        <v>7</v>
      </c>
    </row>
    <row r="147" spans="1:6" x14ac:dyDescent="0.25">
      <c r="A147" s="1" t="s">
        <v>296</v>
      </c>
      <c r="B147" s="1" t="s">
        <v>297</v>
      </c>
      <c r="C147" s="1">
        <f>VLOOKUP(Table134[[#This Row],[Code]],'Main Storage'!A:D,3,0)</f>
        <v>1327</v>
      </c>
      <c r="D147" s="1">
        <f>VLOOKUP(Table134[[#This Row],[Code]],Connecticut!A:F,6,0)</f>
        <v>11</v>
      </c>
      <c r="E147" s="11"/>
      <c r="F147" s="1">
        <f>Table134[[#This Row],[Box]]-Table134[[#This Row],[Order]]</f>
        <v>11</v>
      </c>
    </row>
    <row r="148" spans="1:6" x14ac:dyDescent="0.25">
      <c r="A148" s="1" t="s">
        <v>298</v>
      </c>
      <c r="B148" s="1" t="s">
        <v>299</v>
      </c>
      <c r="C148" s="1">
        <f>VLOOKUP(Table134[[#This Row],[Code]],'Main Storage'!A:D,3,0)</f>
        <v>1297</v>
      </c>
      <c r="D148" s="1">
        <f>VLOOKUP(Table134[[#This Row],[Code]],Connecticut!A:F,6,0)</f>
        <v>10</v>
      </c>
      <c r="E148" s="11"/>
      <c r="F148" s="1">
        <f>Table134[[#This Row],[Box]]-Table134[[#This Row],[Order]]</f>
        <v>10</v>
      </c>
    </row>
    <row r="149" spans="1:6" x14ac:dyDescent="0.25">
      <c r="A149" s="1" t="s">
        <v>300</v>
      </c>
      <c r="B149" s="1" t="s">
        <v>301</v>
      </c>
      <c r="C149" s="1">
        <f>VLOOKUP(Table134[[#This Row],[Code]],'Main Storage'!A:D,3,0)</f>
        <v>284</v>
      </c>
      <c r="D149" s="1">
        <f>VLOOKUP(Table134[[#This Row],[Code]],Connecticut!A:F,6,0)</f>
        <v>2</v>
      </c>
      <c r="E149" s="11"/>
      <c r="F149" s="1">
        <f>Table134[[#This Row],[Box]]-Table134[[#This Row],[Order]]</f>
        <v>2</v>
      </c>
    </row>
    <row r="150" spans="1:6" x14ac:dyDescent="0.25">
      <c r="A150" s="1" t="s">
        <v>302</v>
      </c>
      <c r="B150" s="1" t="s">
        <v>303</v>
      </c>
      <c r="C150" s="1">
        <f>VLOOKUP(Table134[[#This Row],[Code]],'Main Storage'!A:D,3,0)</f>
        <v>177</v>
      </c>
      <c r="D150" s="1">
        <f>VLOOKUP(Table134[[#This Row],[Code]],Connecticut!A:F,6,0)</f>
        <v>1</v>
      </c>
      <c r="E150" s="11"/>
      <c r="F150" s="1">
        <f>Table134[[#This Row],[Box]]-Table134[[#This Row],[Order]]</f>
        <v>1</v>
      </c>
    </row>
    <row r="151" spans="1:6" x14ac:dyDescent="0.25">
      <c r="A151" s="1" t="s">
        <v>304</v>
      </c>
      <c r="B151" s="1" t="s">
        <v>305</v>
      </c>
      <c r="C151" s="1">
        <f>VLOOKUP(Table134[[#This Row],[Code]],'Main Storage'!A:D,3,0)</f>
        <v>1288</v>
      </c>
      <c r="D151" s="1">
        <f>VLOOKUP(Table134[[#This Row],[Code]],Connecticut!A:F,6,0)</f>
        <v>10</v>
      </c>
      <c r="E151" s="11"/>
      <c r="F151" s="1">
        <f>Table134[[#This Row],[Box]]-Table134[[#This Row],[Order]]</f>
        <v>10</v>
      </c>
    </row>
    <row r="152" spans="1:6" x14ac:dyDescent="0.25">
      <c r="A152" s="1" t="s">
        <v>306</v>
      </c>
      <c r="B152" s="1" t="s">
        <v>307</v>
      </c>
      <c r="C152" s="1">
        <f>VLOOKUP(Table134[[#This Row],[Code]],'Main Storage'!A:D,3,0)</f>
        <v>1050</v>
      </c>
      <c r="D152" s="1">
        <f>VLOOKUP(Table134[[#This Row],[Code]],Connecticut!A:F,6,0)</f>
        <v>8</v>
      </c>
      <c r="E152" s="11"/>
      <c r="F152" s="1">
        <f>Table134[[#This Row],[Box]]-Table134[[#This Row],[Order]]</f>
        <v>8</v>
      </c>
    </row>
    <row r="153" spans="1:6" x14ac:dyDescent="0.25">
      <c r="A153" s="1" t="s">
        <v>308</v>
      </c>
      <c r="B153" s="1" t="s">
        <v>309</v>
      </c>
      <c r="C153" s="1">
        <f>VLOOKUP(Table134[[#This Row],[Code]],'Main Storage'!A:D,3,0)</f>
        <v>686</v>
      </c>
      <c r="D153" s="1">
        <f>VLOOKUP(Table134[[#This Row],[Code]],Connecticut!A:F,6,0)</f>
        <v>5</v>
      </c>
      <c r="E153" s="11"/>
      <c r="F153" s="1">
        <f>Table134[[#This Row],[Box]]-Table134[[#This Row],[Order]]</f>
        <v>5</v>
      </c>
    </row>
    <row r="154" spans="1:6" x14ac:dyDescent="0.25">
      <c r="A154" s="1" t="s">
        <v>310</v>
      </c>
      <c r="B154" s="1" t="s">
        <v>311</v>
      </c>
      <c r="C154" s="1">
        <f>VLOOKUP(Table134[[#This Row],[Code]],'Main Storage'!A:D,3,0)</f>
        <v>238</v>
      </c>
      <c r="D154" s="1">
        <f>VLOOKUP(Table134[[#This Row],[Code]],Connecticut!A:F,6,0)</f>
        <v>1</v>
      </c>
      <c r="E154" s="11"/>
      <c r="F154" s="1">
        <f>Table134[[#This Row],[Box]]-Table134[[#This Row],[Order]]</f>
        <v>1</v>
      </c>
    </row>
    <row r="155" spans="1:6" x14ac:dyDescent="0.25">
      <c r="A155" s="1" t="s">
        <v>312</v>
      </c>
      <c r="B155" s="1" t="s">
        <v>313</v>
      </c>
      <c r="C155" s="1">
        <f>VLOOKUP(Table134[[#This Row],[Code]],'Main Storage'!A:D,3,0)</f>
        <v>1063</v>
      </c>
      <c r="D155" s="1">
        <f>VLOOKUP(Table134[[#This Row],[Code]],Connecticut!A:F,6,0)</f>
        <v>8</v>
      </c>
      <c r="E155" s="11"/>
      <c r="F155" s="1">
        <f>Table134[[#This Row],[Box]]-Table134[[#This Row],[Order]]</f>
        <v>8</v>
      </c>
    </row>
    <row r="156" spans="1:6" x14ac:dyDescent="0.25">
      <c r="A156" s="1" t="s">
        <v>314</v>
      </c>
      <c r="B156" s="1" t="s">
        <v>315</v>
      </c>
      <c r="C156" s="1">
        <f>VLOOKUP(Table134[[#This Row],[Code]],'Main Storage'!A:D,3,0)</f>
        <v>508</v>
      </c>
      <c r="D156" s="1">
        <f>VLOOKUP(Table134[[#This Row],[Code]],Connecticut!A:F,6,0)</f>
        <v>4</v>
      </c>
      <c r="E156" s="11"/>
      <c r="F156" s="1">
        <f>Table134[[#This Row],[Box]]-Table134[[#This Row],[Order]]</f>
        <v>4</v>
      </c>
    </row>
    <row r="157" spans="1:6" x14ac:dyDescent="0.25">
      <c r="A157" s="1" t="s">
        <v>316</v>
      </c>
      <c r="B157" s="1" t="s">
        <v>317</v>
      </c>
      <c r="C157" s="1">
        <f>VLOOKUP(Table134[[#This Row],[Code]],'Main Storage'!A:D,3,0)</f>
        <v>166</v>
      </c>
      <c r="D157" s="1">
        <f>VLOOKUP(Table134[[#This Row],[Code]],Connecticut!A:F,6,0)</f>
        <v>1</v>
      </c>
      <c r="E157" s="11"/>
      <c r="F157" s="1">
        <f>Table134[[#This Row],[Box]]-Table134[[#This Row],[Order]]</f>
        <v>1</v>
      </c>
    </row>
    <row r="158" spans="1:6" x14ac:dyDescent="0.25">
      <c r="A158" s="1" t="s">
        <v>318</v>
      </c>
      <c r="B158" s="1" t="s">
        <v>319</v>
      </c>
      <c r="C158" s="1">
        <f>VLOOKUP(Table134[[#This Row],[Code]],'Main Storage'!A:D,3,0)</f>
        <v>695</v>
      </c>
      <c r="D158" s="1">
        <f>VLOOKUP(Table134[[#This Row],[Code]],Connecticut!A:F,6,0)</f>
        <v>5</v>
      </c>
      <c r="E158" s="11"/>
      <c r="F158" s="1">
        <f>Table134[[#This Row],[Box]]-Table134[[#This Row],[Order]]</f>
        <v>5</v>
      </c>
    </row>
    <row r="159" spans="1:6" x14ac:dyDescent="0.25">
      <c r="A159" s="1" t="s">
        <v>320</v>
      </c>
      <c r="B159" s="1" t="s">
        <v>321</v>
      </c>
      <c r="C159" s="1">
        <f>VLOOKUP(Table134[[#This Row],[Code]],'Main Storage'!A:D,3,0)</f>
        <v>1209</v>
      </c>
      <c r="D159" s="1">
        <f>VLOOKUP(Table134[[#This Row],[Code]],Connecticut!A:F,6,0)</f>
        <v>10</v>
      </c>
      <c r="E159" s="11"/>
      <c r="F159" s="1">
        <f>Table134[[#This Row],[Box]]-Table134[[#This Row],[Order]]</f>
        <v>10</v>
      </c>
    </row>
    <row r="160" spans="1:6" x14ac:dyDescent="0.25">
      <c r="A160" s="1" t="s">
        <v>322</v>
      </c>
      <c r="B160" s="1" t="s">
        <v>323</v>
      </c>
      <c r="C160" s="1">
        <f>VLOOKUP(Table134[[#This Row],[Code]],'Main Storage'!A:D,3,0)</f>
        <v>458</v>
      </c>
      <c r="D160" s="1">
        <f>VLOOKUP(Table134[[#This Row],[Code]],Connecticut!A:F,6,0)</f>
        <v>3</v>
      </c>
      <c r="E160" s="11"/>
      <c r="F160" s="1">
        <f>Table134[[#This Row],[Box]]-Table134[[#This Row],[Order]]</f>
        <v>3</v>
      </c>
    </row>
    <row r="161" spans="1:6" x14ac:dyDescent="0.25">
      <c r="A161" s="1" t="s">
        <v>324</v>
      </c>
      <c r="B161" s="1" t="s">
        <v>325</v>
      </c>
      <c r="C161" s="1">
        <f>VLOOKUP(Table134[[#This Row],[Code]],'Main Storage'!A:D,3,0)</f>
        <v>557</v>
      </c>
      <c r="D161" s="1">
        <f>VLOOKUP(Table134[[#This Row],[Code]],Connecticut!A:F,6,0)</f>
        <v>4</v>
      </c>
      <c r="E161" s="11"/>
      <c r="F161" s="1">
        <f>Table134[[#This Row],[Box]]-Table134[[#This Row],[Order]]</f>
        <v>4</v>
      </c>
    </row>
    <row r="162" spans="1:6" x14ac:dyDescent="0.25">
      <c r="A162" s="1" t="s">
        <v>326</v>
      </c>
      <c r="B162" s="1" t="s">
        <v>327</v>
      </c>
      <c r="C162" s="1">
        <f>VLOOKUP(Table134[[#This Row],[Code]],'Main Storage'!A:D,3,0)</f>
        <v>1417</v>
      </c>
      <c r="D162" s="1">
        <f>VLOOKUP(Table134[[#This Row],[Code]],Connecticut!A:F,6,0)</f>
        <v>11</v>
      </c>
      <c r="E162" s="11"/>
      <c r="F162" s="1">
        <f>Table134[[#This Row],[Box]]-Table134[[#This Row],[Order]]</f>
        <v>11</v>
      </c>
    </row>
    <row r="163" spans="1:6" x14ac:dyDescent="0.25">
      <c r="A163" s="1" t="s">
        <v>328</v>
      </c>
      <c r="B163" s="1" t="s">
        <v>329</v>
      </c>
      <c r="C163" s="1">
        <f>VLOOKUP(Table134[[#This Row],[Code]],'Main Storage'!A:D,3,0)</f>
        <v>86</v>
      </c>
      <c r="D163" s="1">
        <f>VLOOKUP(Table134[[#This Row],[Code]],Connecticut!A:F,6,0)</f>
        <v>0</v>
      </c>
      <c r="E163" s="11"/>
      <c r="F163" s="1">
        <f>Table134[[#This Row],[Box]]-Table134[[#This Row],[Order]]</f>
        <v>0</v>
      </c>
    </row>
    <row r="164" spans="1:6" x14ac:dyDescent="0.25">
      <c r="A164" s="1" t="s">
        <v>330</v>
      </c>
      <c r="B164" s="1" t="s">
        <v>331</v>
      </c>
      <c r="C164" s="1">
        <f>VLOOKUP(Table134[[#This Row],[Code]],'Main Storage'!A:D,3,0)</f>
        <v>531</v>
      </c>
      <c r="D164" s="1">
        <f>VLOOKUP(Table134[[#This Row],[Code]],Connecticut!A:F,6,0)</f>
        <v>4</v>
      </c>
      <c r="E164" s="11"/>
      <c r="F164" s="1">
        <f>Table134[[#This Row],[Box]]-Table134[[#This Row],[Order]]</f>
        <v>4</v>
      </c>
    </row>
    <row r="165" spans="1:6" x14ac:dyDescent="0.25">
      <c r="A165" s="1" t="s">
        <v>332</v>
      </c>
      <c r="B165" s="1" t="s">
        <v>333</v>
      </c>
      <c r="C165" s="1">
        <f>VLOOKUP(Table134[[#This Row],[Code]],'Main Storage'!A:D,3,0)</f>
        <v>574</v>
      </c>
      <c r="D165" s="1">
        <f>VLOOKUP(Table134[[#This Row],[Code]],Connecticut!A:F,6,0)</f>
        <v>4</v>
      </c>
      <c r="E165" s="11"/>
      <c r="F165" s="1">
        <f>Table134[[#This Row],[Box]]-Table134[[#This Row],[Order]]</f>
        <v>4</v>
      </c>
    </row>
    <row r="166" spans="1:6" x14ac:dyDescent="0.25">
      <c r="A166" s="1" t="s">
        <v>334</v>
      </c>
      <c r="B166" s="1" t="s">
        <v>335</v>
      </c>
      <c r="C166" s="1">
        <f>VLOOKUP(Table134[[#This Row],[Code]],'Main Storage'!A:D,3,0)</f>
        <v>908</v>
      </c>
      <c r="D166" s="1">
        <f>VLOOKUP(Table134[[#This Row],[Code]],Connecticut!A:F,6,0)</f>
        <v>7</v>
      </c>
      <c r="E166" s="11"/>
      <c r="F166" s="1">
        <f>Table134[[#This Row],[Box]]-Table134[[#This Row],[Order]]</f>
        <v>7</v>
      </c>
    </row>
    <row r="167" spans="1:6" x14ac:dyDescent="0.25">
      <c r="A167" s="1" t="s">
        <v>336</v>
      </c>
      <c r="B167" s="1" t="s">
        <v>337</v>
      </c>
      <c r="C167" s="1">
        <f>VLOOKUP(Table134[[#This Row],[Code]],'Main Storage'!A:D,3,0)</f>
        <v>546</v>
      </c>
      <c r="D167" s="1">
        <f>VLOOKUP(Table134[[#This Row],[Code]],Connecticut!A:F,6,0)</f>
        <v>4</v>
      </c>
      <c r="E167" s="11"/>
      <c r="F167" s="1">
        <f>Table134[[#This Row],[Box]]-Table134[[#This Row],[Order]]</f>
        <v>4</v>
      </c>
    </row>
    <row r="168" spans="1:6" x14ac:dyDescent="0.25">
      <c r="A168" s="1" t="s">
        <v>338</v>
      </c>
      <c r="B168" s="1" t="s">
        <v>339</v>
      </c>
      <c r="C168" s="1">
        <f>VLOOKUP(Table134[[#This Row],[Code]],'Main Storage'!A:D,3,0)</f>
        <v>537</v>
      </c>
      <c r="D168" s="1">
        <f>VLOOKUP(Table134[[#This Row],[Code]],Connecticut!A:F,6,0)</f>
        <v>4</v>
      </c>
      <c r="E168" s="11"/>
      <c r="F168" s="1">
        <f>Table134[[#This Row],[Box]]-Table134[[#This Row],[Order]]</f>
        <v>4</v>
      </c>
    </row>
    <row r="169" spans="1:6" x14ac:dyDescent="0.25">
      <c r="A169" s="1" t="s">
        <v>340</v>
      </c>
      <c r="B169" s="1" t="s">
        <v>341</v>
      </c>
      <c r="C169" s="1">
        <f>VLOOKUP(Table134[[#This Row],[Code]],'Main Storage'!A:D,3,0)</f>
        <v>579</v>
      </c>
      <c r="D169" s="1">
        <f>VLOOKUP(Table134[[#This Row],[Code]],Connecticut!A:F,6,0)</f>
        <v>4</v>
      </c>
      <c r="E169" s="11"/>
      <c r="F169" s="1">
        <f>Table134[[#This Row],[Box]]-Table134[[#This Row],[Order]]</f>
        <v>4</v>
      </c>
    </row>
    <row r="170" spans="1:6" x14ac:dyDescent="0.25">
      <c r="A170" s="1" t="s">
        <v>342</v>
      </c>
      <c r="B170" s="1" t="s">
        <v>343</v>
      </c>
      <c r="C170" s="1">
        <f>VLOOKUP(Table134[[#This Row],[Code]],'Main Storage'!A:D,3,0)</f>
        <v>975</v>
      </c>
      <c r="D170" s="1">
        <f>VLOOKUP(Table134[[#This Row],[Code]],Connecticut!A:F,6,0)</f>
        <v>8</v>
      </c>
      <c r="E170" s="11"/>
      <c r="F170" s="1">
        <f>Table134[[#This Row],[Box]]-Table134[[#This Row],[Order]]</f>
        <v>8</v>
      </c>
    </row>
    <row r="171" spans="1:6" x14ac:dyDescent="0.25">
      <c r="A171" s="1" t="s">
        <v>344</v>
      </c>
      <c r="B171" s="1" t="s">
        <v>345</v>
      </c>
      <c r="C171" s="1">
        <f>VLOOKUP(Table134[[#This Row],[Code]],'Main Storage'!A:D,3,0)</f>
        <v>3</v>
      </c>
      <c r="D171" s="1">
        <f>VLOOKUP(Table134[[#This Row],[Code]],Connecticut!A:F,6,0)</f>
        <v>0</v>
      </c>
      <c r="E171" s="11"/>
      <c r="F171" s="1">
        <f>Table134[[#This Row],[Box]]-Table134[[#This Row],[Order]]</f>
        <v>0</v>
      </c>
    </row>
    <row r="172" spans="1:6" x14ac:dyDescent="0.25">
      <c r="A172" s="1" t="s">
        <v>346</v>
      </c>
      <c r="B172" s="1" t="s">
        <v>347</v>
      </c>
      <c r="C172" s="1">
        <f>VLOOKUP(Table134[[#This Row],[Code]],'Main Storage'!A:D,3,0)</f>
        <v>677</v>
      </c>
      <c r="D172" s="1">
        <f>VLOOKUP(Table134[[#This Row],[Code]],Connecticut!A:F,6,0)</f>
        <v>5</v>
      </c>
      <c r="E172" s="11"/>
      <c r="F172" s="1">
        <f>Table134[[#This Row],[Box]]-Table134[[#This Row],[Order]]</f>
        <v>5</v>
      </c>
    </row>
    <row r="173" spans="1:6" x14ac:dyDescent="0.25">
      <c r="A173" s="1" t="s">
        <v>348</v>
      </c>
      <c r="B173" s="1" t="s">
        <v>349</v>
      </c>
      <c r="C173" s="1">
        <f>VLOOKUP(Table134[[#This Row],[Code]],'Main Storage'!A:D,3,0)</f>
        <v>1304</v>
      </c>
      <c r="D173" s="1">
        <f>VLOOKUP(Table134[[#This Row],[Code]],Connecticut!A:F,6,0)</f>
        <v>10</v>
      </c>
      <c r="E173" s="11"/>
      <c r="F173" s="1">
        <f>Table134[[#This Row],[Box]]-Table134[[#This Row],[Order]]</f>
        <v>10</v>
      </c>
    </row>
    <row r="174" spans="1:6" x14ac:dyDescent="0.25">
      <c r="A174" s="1" t="s">
        <v>350</v>
      </c>
      <c r="B174" s="1" t="s">
        <v>351</v>
      </c>
      <c r="C174" s="1">
        <f>VLOOKUP(Table134[[#This Row],[Code]],'Main Storage'!A:D,3,0)</f>
        <v>929</v>
      </c>
      <c r="D174" s="1">
        <f>VLOOKUP(Table134[[#This Row],[Code]],Connecticut!A:F,6,0)</f>
        <v>7</v>
      </c>
      <c r="E174" s="11"/>
      <c r="F174" s="1">
        <f>Table134[[#This Row],[Box]]-Table134[[#This Row],[Order]]</f>
        <v>7</v>
      </c>
    </row>
    <row r="175" spans="1:6" x14ac:dyDescent="0.25">
      <c r="A175" s="1" t="s">
        <v>352</v>
      </c>
      <c r="B175" s="1" t="s">
        <v>353</v>
      </c>
      <c r="C175" s="1">
        <f>VLOOKUP(Table134[[#This Row],[Code]],'Main Storage'!A:D,3,0)</f>
        <v>615</v>
      </c>
      <c r="D175" s="1">
        <f>VLOOKUP(Table134[[#This Row],[Code]],Connecticut!A:F,6,0)</f>
        <v>5</v>
      </c>
      <c r="E175" s="11"/>
      <c r="F175" s="1">
        <f>Table134[[#This Row],[Box]]-Table134[[#This Row],[Order]]</f>
        <v>5</v>
      </c>
    </row>
    <row r="176" spans="1:6" x14ac:dyDescent="0.25">
      <c r="A176" s="1" t="s">
        <v>354</v>
      </c>
      <c r="B176" s="1" t="s">
        <v>355</v>
      </c>
      <c r="C176" s="1">
        <f>VLOOKUP(Table134[[#This Row],[Code]],'Main Storage'!A:D,3,0)</f>
        <v>547</v>
      </c>
      <c r="D176" s="1">
        <f>VLOOKUP(Table134[[#This Row],[Code]],Connecticut!A:F,6,0)</f>
        <v>4</v>
      </c>
      <c r="E176" s="11"/>
      <c r="F176" s="1">
        <f>Table134[[#This Row],[Box]]-Table134[[#This Row],[Order]]</f>
        <v>4</v>
      </c>
    </row>
    <row r="177" spans="1:6" x14ac:dyDescent="0.25">
      <c r="A177" s="1" t="s">
        <v>356</v>
      </c>
      <c r="B177" s="1" t="s">
        <v>357</v>
      </c>
      <c r="C177" s="1">
        <f>VLOOKUP(Table134[[#This Row],[Code]],'Main Storage'!A:D,3,0)</f>
        <v>481</v>
      </c>
      <c r="D177" s="1">
        <f>VLOOKUP(Table134[[#This Row],[Code]],Connecticut!A:F,6,0)</f>
        <v>4</v>
      </c>
      <c r="E177" s="11"/>
      <c r="F177" s="1">
        <f>Table134[[#This Row],[Box]]-Table134[[#This Row],[Order]]</f>
        <v>4</v>
      </c>
    </row>
    <row r="178" spans="1:6" x14ac:dyDescent="0.25">
      <c r="A178" s="1" t="s">
        <v>358</v>
      </c>
      <c r="B178" s="1" t="s">
        <v>359</v>
      </c>
      <c r="C178" s="1">
        <f>VLOOKUP(Table134[[#This Row],[Code]],'Main Storage'!A:D,3,0)</f>
        <v>1371</v>
      </c>
      <c r="D178" s="1">
        <f>VLOOKUP(Table134[[#This Row],[Code]],Connecticut!A:F,6,0)</f>
        <v>11</v>
      </c>
      <c r="E178" s="11"/>
      <c r="F178" s="1">
        <f>Table134[[#This Row],[Box]]-Table134[[#This Row],[Order]]</f>
        <v>11</v>
      </c>
    </row>
    <row r="179" spans="1:6" x14ac:dyDescent="0.25">
      <c r="A179" s="1" t="s">
        <v>360</v>
      </c>
      <c r="B179" s="1" t="s">
        <v>361</v>
      </c>
      <c r="C179" s="1">
        <f>VLOOKUP(Table134[[#This Row],[Code]],'Main Storage'!A:D,3,0)</f>
        <v>944</v>
      </c>
      <c r="D179" s="1">
        <f>VLOOKUP(Table134[[#This Row],[Code]],Connecticut!A:F,6,0)</f>
        <v>7</v>
      </c>
      <c r="E179" s="11"/>
      <c r="F179" s="1">
        <f>Table134[[#This Row],[Box]]-Table134[[#This Row],[Order]]</f>
        <v>7</v>
      </c>
    </row>
    <row r="180" spans="1:6" x14ac:dyDescent="0.25">
      <c r="A180" s="1" t="s">
        <v>362</v>
      </c>
      <c r="B180" s="1" t="s">
        <v>363</v>
      </c>
      <c r="C180" s="1">
        <f>VLOOKUP(Table134[[#This Row],[Code]],'Main Storage'!A:D,3,0)</f>
        <v>985</v>
      </c>
      <c r="D180" s="1">
        <f>VLOOKUP(Table134[[#This Row],[Code]],Connecticut!A:F,6,0)</f>
        <v>8</v>
      </c>
      <c r="E180" s="11"/>
      <c r="F180" s="1">
        <f>Table134[[#This Row],[Box]]-Table134[[#This Row],[Order]]</f>
        <v>8</v>
      </c>
    </row>
    <row r="181" spans="1:6" x14ac:dyDescent="0.25">
      <c r="A181" s="1" t="s">
        <v>364</v>
      </c>
      <c r="B181" s="1" t="s">
        <v>365</v>
      </c>
      <c r="C181" s="1">
        <f>VLOOKUP(Table134[[#This Row],[Code]],'Main Storage'!A:D,3,0)</f>
        <v>1374</v>
      </c>
      <c r="D181" s="1">
        <f>VLOOKUP(Table134[[#This Row],[Code]],Connecticut!A:F,6,0)</f>
        <v>11</v>
      </c>
      <c r="E181" s="11"/>
      <c r="F181" s="1">
        <f>Table134[[#This Row],[Box]]-Table134[[#This Row],[Order]]</f>
        <v>11</v>
      </c>
    </row>
    <row r="182" spans="1:6" x14ac:dyDescent="0.25">
      <c r="A182" s="1" t="s">
        <v>366</v>
      </c>
      <c r="B182" s="1" t="s">
        <v>367</v>
      </c>
      <c r="C182" s="1">
        <f>VLOOKUP(Table134[[#This Row],[Code]],'Main Storage'!A:D,3,0)</f>
        <v>326</v>
      </c>
      <c r="D182" s="1">
        <f>VLOOKUP(Table134[[#This Row],[Code]],Connecticut!A:F,6,0)</f>
        <v>2</v>
      </c>
      <c r="E182" s="11"/>
      <c r="F182" s="1">
        <f>Table134[[#This Row],[Box]]-Table134[[#This Row],[Order]]</f>
        <v>2</v>
      </c>
    </row>
    <row r="183" spans="1:6" x14ac:dyDescent="0.25">
      <c r="A183" s="1" t="s">
        <v>368</v>
      </c>
      <c r="B183" s="1" t="s">
        <v>369</v>
      </c>
      <c r="C183" s="1">
        <f>VLOOKUP(Table134[[#This Row],[Code]],'Main Storage'!A:D,3,0)</f>
        <v>1218</v>
      </c>
      <c r="D183" s="1">
        <f>VLOOKUP(Table134[[#This Row],[Code]],Connecticut!A:F,6,0)</f>
        <v>10</v>
      </c>
      <c r="E183" s="11"/>
      <c r="F183" s="1">
        <f>Table134[[#This Row],[Box]]-Table134[[#This Row],[Order]]</f>
        <v>10</v>
      </c>
    </row>
    <row r="184" spans="1:6" x14ac:dyDescent="0.25">
      <c r="A184" s="1" t="s">
        <v>370</v>
      </c>
      <c r="B184" s="1" t="s">
        <v>371</v>
      </c>
      <c r="C184" s="1">
        <f>VLOOKUP(Table134[[#This Row],[Code]],'Main Storage'!A:D,3,0)</f>
        <v>1121</v>
      </c>
      <c r="D184" s="1">
        <f>VLOOKUP(Table134[[#This Row],[Code]],Connecticut!A:F,6,0)</f>
        <v>9</v>
      </c>
      <c r="E184" s="11"/>
      <c r="F184" s="1">
        <f>Table134[[#This Row],[Box]]-Table134[[#This Row],[Order]]</f>
        <v>9</v>
      </c>
    </row>
    <row r="185" spans="1:6" x14ac:dyDescent="0.25">
      <c r="A185" s="1" t="s">
        <v>372</v>
      </c>
      <c r="B185" s="1" t="s">
        <v>373</v>
      </c>
      <c r="C185" s="1">
        <f>VLOOKUP(Table134[[#This Row],[Code]],'Main Storage'!A:D,3,0)</f>
        <v>1192</v>
      </c>
      <c r="D185" s="1">
        <f>VLOOKUP(Table134[[#This Row],[Code]],Connecticut!A:F,6,0)</f>
        <v>9</v>
      </c>
      <c r="E185" s="11"/>
      <c r="F185" s="1">
        <f>Table134[[#This Row],[Box]]-Table134[[#This Row],[Order]]</f>
        <v>9</v>
      </c>
    </row>
    <row r="186" spans="1:6" x14ac:dyDescent="0.25">
      <c r="A186" s="1" t="s">
        <v>374</v>
      </c>
      <c r="B186" s="1" t="s">
        <v>375</v>
      </c>
      <c r="C186" s="1">
        <f>VLOOKUP(Table134[[#This Row],[Code]],'Main Storage'!A:D,3,0)</f>
        <v>945</v>
      </c>
      <c r="D186" s="1">
        <f>VLOOKUP(Table134[[#This Row],[Code]],Connecticut!A:F,6,0)</f>
        <v>7</v>
      </c>
      <c r="E186" s="11"/>
      <c r="F186" s="1">
        <f>Table134[[#This Row],[Box]]-Table134[[#This Row],[Order]]</f>
        <v>7</v>
      </c>
    </row>
    <row r="187" spans="1:6" x14ac:dyDescent="0.25">
      <c r="A187" s="1" t="s">
        <v>376</v>
      </c>
      <c r="B187" s="1" t="s">
        <v>377</v>
      </c>
      <c r="C187" s="1">
        <f>VLOOKUP(Table134[[#This Row],[Code]],'Main Storage'!A:D,3,0)</f>
        <v>1319</v>
      </c>
      <c r="D187" s="1">
        <f>VLOOKUP(Table134[[#This Row],[Code]],Connecticut!A:F,6,0)</f>
        <v>10</v>
      </c>
      <c r="E187" s="11"/>
      <c r="F187" s="1">
        <f>Table134[[#This Row],[Box]]-Table134[[#This Row],[Order]]</f>
        <v>10</v>
      </c>
    </row>
    <row r="188" spans="1:6" x14ac:dyDescent="0.25">
      <c r="A188" s="1" t="s">
        <v>378</v>
      </c>
      <c r="B188" s="1" t="s">
        <v>379</v>
      </c>
      <c r="C188" s="1">
        <f>VLOOKUP(Table134[[#This Row],[Code]],'Main Storage'!A:D,3,0)</f>
        <v>1253</v>
      </c>
      <c r="D188" s="1">
        <f>VLOOKUP(Table134[[#This Row],[Code]],Connecticut!A:F,6,0)</f>
        <v>10</v>
      </c>
      <c r="E188" s="11"/>
      <c r="F188" s="1">
        <f>Table134[[#This Row],[Box]]-Table134[[#This Row],[Order]]</f>
        <v>10</v>
      </c>
    </row>
    <row r="189" spans="1:6" x14ac:dyDescent="0.25">
      <c r="A189" s="1" t="s">
        <v>380</v>
      </c>
      <c r="B189" s="1" t="s">
        <v>381</v>
      </c>
      <c r="C189" s="1">
        <f>VLOOKUP(Table134[[#This Row],[Code]],'Main Storage'!A:D,3,0)</f>
        <v>326</v>
      </c>
      <c r="D189" s="1">
        <f>VLOOKUP(Table134[[#This Row],[Code]],Connecticut!A:F,6,0)</f>
        <v>2</v>
      </c>
      <c r="E189" s="11"/>
      <c r="F189" s="1">
        <f>Table134[[#This Row],[Box]]-Table134[[#This Row],[Order]]</f>
        <v>2</v>
      </c>
    </row>
    <row r="190" spans="1:6" x14ac:dyDescent="0.25">
      <c r="A190" s="1" t="s">
        <v>382</v>
      </c>
      <c r="B190" s="1" t="s">
        <v>383</v>
      </c>
      <c r="C190" s="1">
        <f>VLOOKUP(Table134[[#This Row],[Code]],'Main Storage'!A:D,3,0)</f>
        <v>1285</v>
      </c>
      <c r="D190" s="1">
        <f>VLOOKUP(Table134[[#This Row],[Code]],Connecticut!A:F,6,0)</f>
        <v>10</v>
      </c>
      <c r="E190" s="11"/>
      <c r="F190" s="1">
        <f>Table134[[#This Row],[Box]]-Table134[[#This Row],[Order]]</f>
        <v>10</v>
      </c>
    </row>
    <row r="191" spans="1:6" x14ac:dyDescent="0.25">
      <c r="A191" s="1" t="s">
        <v>384</v>
      </c>
      <c r="B191" s="1" t="s">
        <v>385</v>
      </c>
      <c r="C191" s="1">
        <f>VLOOKUP(Table134[[#This Row],[Code]],'Main Storage'!A:D,3,0)</f>
        <v>1221</v>
      </c>
      <c r="D191" s="1">
        <f>VLOOKUP(Table134[[#This Row],[Code]],Connecticut!A:F,6,0)</f>
        <v>10</v>
      </c>
      <c r="E191" s="11"/>
      <c r="F191" s="1">
        <f>Table134[[#This Row],[Box]]-Table134[[#This Row],[Order]]</f>
        <v>10</v>
      </c>
    </row>
    <row r="192" spans="1:6" x14ac:dyDescent="0.25">
      <c r="A192" s="1" t="s">
        <v>386</v>
      </c>
      <c r="B192" s="1" t="s">
        <v>387</v>
      </c>
      <c r="C192" s="1">
        <f>VLOOKUP(Table134[[#This Row],[Code]],'Main Storage'!A:D,3,0)</f>
        <v>83</v>
      </c>
      <c r="D192" s="1">
        <f>VLOOKUP(Table134[[#This Row],[Code]],Connecticut!A:F,6,0)</f>
        <v>0</v>
      </c>
      <c r="E192" s="11"/>
      <c r="F192" s="1">
        <f>Table134[[#This Row],[Box]]-Table134[[#This Row],[Order]]</f>
        <v>0</v>
      </c>
    </row>
    <row r="193" spans="1:6" x14ac:dyDescent="0.25">
      <c r="A193" s="1" t="s">
        <v>388</v>
      </c>
      <c r="B193" s="1" t="s">
        <v>389</v>
      </c>
      <c r="C193" s="1">
        <f>VLOOKUP(Table134[[#This Row],[Code]],'Main Storage'!A:D,3,0)</f>
        <v>1436</v>
      </c>
      <c r="D193" s="1">
        <f>VLOOKUP(Table134[[#This Row],[Code]],Connecticut!A:F,6,0)</f>
        <v>17</v>
      </c>
      <c r="E193" s="11"/>
      <c r="F193" s="1">
        <f>Table134[[#This Row],[Box]]-Table134[[#This Row],[Order]]</f>
        <v>17</v>
      </c>
    </row>
    <row r="194" spans="1:6" x14ac:dyDescent="0.25">
      <c r="A194" s="1" t="s">
        <v>390</v>
      </c>
      <c r="B194" s="1" t="s">
        <v>391</v>
      </c>
      <c r="C194" s="1">
        <f>VLOOKUP(Table134[[#This Row],[Code]],'Main Storage'!A:D,3,0)</f>
        <v>249</v>
      </c>
      <c r="D194" s="1">
        <f>VLOOKUP(Table134[[#This Row],[Code]],Connecticut!A:F,6,0)</f>
        <v>3</v>
      </c>
      <c r="E194" s="11"/>
      <c r="F194" s="1">
        <f>Table134[[#This Row],[Box]]-Table134[[#This Row],[Order]]</f>
        <v>3</v>
      </c>
    </row>
    <row r="195" spans="1:6" x14ac:dyDescent="0.25">
      <c r="A195" s="1" t="s">
        <v>392</v>
      </c>
      <c r="B195" s="1" t="s">
        <v>393</v>
      </c>
      <c r="C195" s="1">
        <f>VLOOKUP(Table134[[#This Row],[Code]],'Main Storage'!A:D,3,0)</f>
        <v>260</v>
      </c>
      <c r="D195" s="1">
        <f>VLOOKUP(Table134[[#This Row],[Code]],Connecticut!A:F,6,0)</f>
        <v>3</v>
      </c>
      <c r="E195" s="11"/>
      <c r="F195" s="1">
        <f>Table134[[#This Row],[Box]]-Table134[[#This Row],[Order]]</f>
        <v>3</v>
      </c>
    </row>
    <row r="196" spans="1:6" x14ac:dyDescent="0.25">
      <c r="A196" s="1" t="s">
        <v>394</v>
      </c>
      <c r="B196" s="1" t="s">
        <v>395</v>
      </c>
      <c r="C196" s="1">
        <f>VLOOKUP(Table134[[#This Row],[Code]],'Main Storage'!A:D,3,0)</f>
        <v>337</v>
      </c>
      <c r="D196" s="1">
        <f>VLOOKUP(Table134[[#This Row],[Code]],Connecticut!A:F,6,0)</f>
        <v>4</v>
      </c>
      <c r="E196" s="11"/>
      <c r="F196" s="1">
        <f>Table134[[#This Row],[Box]]-Table134[[#This Row],[Order]]</f>
        <v>4</v>
      </c>
    </row>
    <row r="197" spans="1:6" x14ac:dyDescent="0.25">
      <c r="A197" s="1" t="s">
        <v>396</v>
      </c>
      <c r="B197" s="1" t="s">
        <v>397</v>
      </c>
      <c r="C197" s="1">
        <f>VLOOKUP(Table134[[#This Row],[Code]],'Main Storage'!A:D,3,0)</f>
        <v>895</v>
      </c>
      <c r="D197" s="1">
        <f>VLOOKUP(Table134[[#This Row],[Code]],Connecticut!A:F,6,0)</f>
        <v>11</v>
      </c>
      <c r="E197" s="11"/>
      <c r="F197" s="1">
        <f>Table134[[#This Row],[Box]]-Table134[[#This Row],[Order]]</f>
        <v>11</v>
      </c>
    </row>
    <row r="198" spans="1:6" x14ac:dyDescent="0.25">
      <c r="A198" s="1" t="s">
        <v>398</v>
      </c>
      <c r="B198" s="1" t="s">
        <v>399</v>
      </c>
      <c r="C198" s="1">
        <f>VLOOKUP(Table134[[#This Row],[Code]],'Main Storage'!A:D,3,0)</f>
        <v>853</v>
      </c>
      <c r="D198" s="1">
        <f>VLOOKUP(Table134[[#This Row],[Code]],Connecticut!A:F,6,0)</f>
        <v>10</v>
      </c>
      <c r="E198" s="11"/>
      <c r="F198" s="1">
        <f>Table134[[#This Row],[Box]]-Table134[[#This Row],[Order]]</f>
        <v>10</v>
      </c>
    </row>
    <row r="199" spans="1:6" x14ac:dyDescent="0.25">
      <c r="A199" s="1" t="s">
        <v>400</v>
      </c>
      <c r="B199" s="1" t="s">
        <v>401</v>
      </c>
      <c r="C199" s="1">
        <f>VLOOKUP(Table134[[#This Row],[Code]],'Main Storage'!A:D,3,0)</f>
        <v>551</v>
      </c>
      <c r="D199" s="1">
        <f>VLOOKUP(Table134[[#This Row],[Code]],Connecticut!A:F,6,0)</f>
        <v>6</v>
      </c>
      <c r="E199" s="11"/>
      <c r="F199" s="1">
        <f>Table134[[#This Row],[Box]]-Table134[[#This Row],[Order]]</f>
        <v>6</v>
      </c>
    </row>
    <row r="200" spans="1:6" x14ac:dyDescent="0.25">
      <c r="A200" s="1" t="s">
        <v>402</v>
      </c>
      <c r="B200" s="1" t="s">
        <v>403</v>
      </c>
      <c r="C200" s="1">
        <f>VLOOKUP(Table134[[#This Row],[Code]],'Main Storage'!A:D,3,0)</f>
        <v>425</v>
      </c>
      <c r="D200" s="1">
        <f>VLOOKUP(Table134[[#This Row],[Code]],Connecticut!A:F,6,0)</f>
        <v>5</v>
      </c>
      <c r="E200" s="11"/>
      <c r="F200" s="1">
        <f>Table134[[#This Row],[Box]]-Table134[[#This Row],[Order]]</f>
        <v>5</v>
      </c>
    </row>
    <row r="201" spans="1:6" x14ac:dyDescent="0.25">
      <c r="A201" s="1" t="s">
        <v>404</v>
      </c>
      <c r="B201" s="1" t="s">
        <v>405</v>
      </c>
      <c r="C201" s="1">
        <f>VLOOKUP(Table134[[#This Row],[Code]],'Main Storage'!A:D,3,0)</f>
        <v>981</v>
      </c>
      <c r="D201" s="1">
        <f>VLOOKUP(Table134[[#This Row],[Code]],Connecticut!A:F,6,0)</f>
        <v>12</v>
      </c>
      <c r="E201" s="11"/>
      <c r="F201" s="1">
        <f>Table134[[#This Row],[Box]]-Table134[[#This Row],[Order]]</f>
        <v>12</v>
      </c>
    </row>
    <row r="202" spans="1:6" x14ac:dyDescent="0.25">
      <c r="A202" s="1" t="s">
        <v>406</v>
      </c>
      <c r="B202" s="1" t="s">
        <v>407</v>
      </c>
      <c r="C202" s="1">
        <f>VLOOKUP(Table134[[#This Row],[Code]],'Main Storage'!A:D,3,0)</f>
        <v>922</v>
      </c>
      <c r="D202" s="1">
        <f>VLOOKUP(Table134[[#This Row],[Code]],Connecticut!A:F,6,0)</f>
        <v>11</v>
      </c>
      <c r="E202" s="11"/>
      <c r="F202" s="1">
        <f>Table134[[#This Row],[Box]]-Table134[[#This Row],[Order]]</f>
        <v>11</v>
      </c>
    </row>
    <row r="203" spans="1:6" x14ac:dyDescent="0.25">
      <c r="A203" s="1" t="s">
        <v>408</v>
      </c>
      <c r="B203" s="1" t="s">
        <v>409</v>
      </c>
      <c r="C203" s="1">
        <f>VLOOKUP(Table134[[#This Row],[Code]],'Main Storage'!A:D,3,0)</f>
        <v>515</v>
      </c>
      <c r="D203" s="1">
        <f>VLOOKUP(Table134[[#This Row],[Code]],Connecticut!A:F,6,0)</f>
        <v>6</v>
      </c>
      <c r="E203" s="11"/>
      <c r="F203" s="1">
        <f>Table134[[#This Row],[Box]]-Table134[[#This Row],[Order]]</f>
        <v>6</v>
      </c>
    </row>
    <row r="204" spans="1:6" x14ac:dyDescent="0.25">
      <c r="A204" s="1" t="s">
        <v>410</v>
      </c>
      <c r="B204" s="1" t="s">
        <v>411</v>
      </c>
      <c r="C204" s="1">
        <f>VLOOKUP(Table134[[#This Row],[Code]],'Main Storage'!A:D,3,0)</f>
        <v>965</v>
      </c>
      <c r="D204" s="1">
        <f>VLOOKUP(Table134[[#This Row],[Code]],Connecticut!A:F,6,0)</f>
        <v>12</v>
      </c>
      <c r="E204" s="11"/>
      <c r="F204" s="1">
        <f>Table134[[#This Row],[Box]]-Table134[[#This Row],[Order]]</f>
        <v>12</v>
      </c>
    </row>
    <row r="205" spans="1:6" x14ac:dyDescent="0.25">
      <c r="A205" s="1" t="s">
        <v>412</v>
      </c>
      <c r="B205" s="1" t="s">
        <v>413</v>
      </c>
      <c r="C205" s="1">
        <f>VLOOKUP(Table134[[#This Row],[Code]],'Main Storage'!A:D,3,0)</f>
        <v>1494</v>
      </c>
      <c r="D205" s="1">
        <f>VLOOKUP(Table134[[#This Row],[Code]],Connecticut!A:F,6,0)</f>
        <v>18</v>
      </c>
      <c r="E205" s="11"/>
      <c r="F205" s="1">
        <f>Table134[[#This Row],[Box]]-Table134[[#This Row],[Order]]</f>
        <v>18</v>
      </c>
    </row>
    <row r="206" spans="1:6" x14ac:dyDescent="0.25">
      <c r="A206" s="1" t="s">
        <v>414</v>
      </c>
      <c r="B206" s="1" t="s">
        <v>415</v>
      </c>
      <c r="C206" s="1">
        <f>VLOOKUP(Table134[[#This Row],[Code]],'Main Storage'!A:D,3,0)</f>
        <v>450</v>
      </c>
      <c r="D206" s="1">
        <f>VLOOKUP(Table134[[#This Row],[Code]],Connecticut!A:F,6,0)</f>
        <v>5</v>
      </c>
      <c r="E206" s="11"/>
      <c r="F206" s="1">
        <f>Table134[[#This Row],[Box]]-Table134[[#This Row],[Order]]</f>
        <v>5</v>
      </c>
    </row>
    <row r="207" spans="1:6" x14ac:dyDescent="0.25">
      <c r="A207" s="1" t="s">
        <v>416</v>
      </c>
      <c r="B207" s="1" t="s">
        <v>417</v>
      </c>
      <c r="C207" s="1">
        <f>VLOOKUP(Table134[[#This Row],[Code]],'Main Storage'!A:D,3,0)</f>
        <v>276</v>
      </c>
      <c r="D207" s="1">
        <f>VLOOKUP(Table134[[#This Row],[Code]],Connecticut!A:F,6,0)</f>
        <v>3</v>
      </c>
      <c r="E207" s="11"/>
      <c r="F207" s="1">
        <f>Table134[[#This Row],[Box]]-Table134[[#This Row],[Order]]</f>
        <v>3</v>
      </c>
    </row>
    <row r="208" spans="1:6" x14ac:dyDescent="0.25">
      <c r="A208" s="1" t="s">
        <v>418</v>
      </c>
      <c r="B208" s="1" t="s">
        <v>419</v>
      </c>
      <c r="C208" s="1">
        <f>VLOOKUP(Table134[[#This Row],[Code]],'Main Storage'!A:D,3,0)</f>
        <v>189</v>
      </c>
      <c r="D208" s="1">
        <f>VLOOKUP(Table134[[#This Row],[Code]],Connecticut!A:F,6,0)</f>
        <v>2</v>
      </c>
      <c r="E208" s="11"/>
      <c r="F208" s="1">
        <f>Table134[[#This Row],[Box]]-Table134[[#This Row],[Order]]</f>
        <v>2</v>
      </c>
    </row>
    <row r="209" spans="1:6" x14ac:dyDescent="0.25">
      <c r="A209" s="1" t="s">
        <v>420</v>
      </c>
      <c r="B209" s="1" t="s">
        <v>421</v>
      </c>
      <c r="C209" s="1">
        <f>VLOOKUP(Table134[[#This Row],[Code]],'Main Storage'!A:D,3,0)</f>
        <v>871</v>
      </c>
      <c r="D209" s="1">
        <f>VLOOKUP(Table134[[#This Row],[Code]],Connecticut!A:F,6,0)</f>
        <v>10</v>
      </c>
      <c r="E209" s="11"/>
      <c r="F209" s="1">
        <f>Table134[[#This Row],[Box]]-Table134[[#This Row],[Order]]</f>
        <v>10</v>
      </c>
    </row>
    <row r="210" spans="1:6" x14ac:dyDescent="0.25">
      <c r="A210" s="1" t="s">
        <v>422</v>
      </c>
      <c r="B210" s="1" t="s">
        <v>423</v>
      </c>
      <c r="C210" s="1">
        <f>VLOOKUP(Table134[[#This Row],[Code]],'Main Storage'!A:D,3,0)</f>
        <v>55</v>
      </c>
      <c r="D210" s="1">
        <f>VLOOKUP(Table134[[#This Row],[Code]],Connecticut!A:F,6,0)</f>
        <v>0</v>
      </c>
      <c r="E210" s="11"/>
      <c r="F210" s="1">
        <f>Table134[[#This Row],[Box]]-Table134[[#This Row],[Order]]</f>
        <v>0</v>
      </c>
    </row>
    <row r="211" spans="1:6" x14ac:dyDescent="0.25">
      <c r="A211" s="1" t="s">
        <v>427</v>
      </c>
      <c r="C211" s="1">
        <f>VLOOKUP(Table134[[#This Row],[Code]],'Main Storage'!A:D,3,0)</f>
        <v>155010</v>
      </c>
      <c r="D211" s="1">
        <f>VLOOKUP(Table134[[#This Row],[Code]],Connecticut!A:F,6,0)</f>
        <v>10</v>
      </c>
      <c r="E211" s="11"/>
      <c r="F211" s="1">
        <f>Table134[[#This Row],[Box]]-Table134[[#This Row],[Order]]</f>
        <v>10</v>
      </c>
    </row>
  </sheetData>
  <dataValidations count="1">
    <dataValidation type="whole" allowBlank="1" showInputMessage="1" showErrorMessage="1" errorTitle="Enter Number" error="Just Number between 0 to BOX column" promptTitle="Enter Number" prompt="Just Number between 0 to BOX column" sqref="E2:E211" xr:uid="{95F80D12-0430-453A-B73C-2A81693FD678}">
      <formula1>0</formula1>
      <formula2>D2</formula2>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28D39-8292-45F4-AB2F-21ABA8AD469A}">
  <dimension ref="A1:F211"/>
  <sheetViews>
    <sheetView workbookViewId="0">
      <selection activeCell="I6" sqref="I6"/>
    </sheetView>
  </sheetViews>
  <sheetFormatPr defaultRowHeight="15" x14ac:dyDescent="0.25"/>
  <cols>
    <col min="1" max="2" width="9.140625" style="1"/>
    <col min="3" max="3" width="18.28515625" style="1" customWidth="1"/>
    <col min="4" max="16384" width="9.140625" style="1"/>
  </cols>
  <sheetData>
    <row r="1" spans="1:6" x14ac:dyDescent="0.25">
      <c r="A1" s="1" t="s">
        <v>2</v>
      </c>
      <c r="B1" s="1" t="s">
        <v>1</v>
      </c>
      <c r="C1" s="1" t="s">
        <v>428</v>
      </c>
      <c r="D1" s="1" t="s">
        <v>429</v>
      </c>
      <c r="E1" s="1" t="s">
        <v>430</v>
      </c>
      <c r="F1" s="1" t="s">
        <v>431</v>
      </c>
    </row>
    <row r="2" spans="1:6" x14ac:dyDescent="0.25">
      <c r="A2" s="1" t="s">
        <v>3</v>
      </c>
      <c r="B2" s="1" t="s">
        <v>4</v>
      </c>
      <c r="C2" s="1">
        <f>VLOOKUP(Table135[[#This Row],[Code]],'Main Storage'!A:D,3,0)</f>
        <v>754</v>
      </c>
      <c r="D2" s="1">
        <f>VLOOKUP(Table135[[#This Row],[Code]],Iowa!A:F,6,0)</f>
        <v>62</v>
      </c>
      <c r="E2" s="11"/>
      <c r="F2" s="1">
        <f>Table135[[#This Row],[Box]]-Table135[[#This Row],[Order]]</f>
        <v>62</v>
      </c>
    </row>
    <row r="3" spans="1:6" x14ac:dyDescent="0.25">
      <c r="A3" s="1" t="s">
        <v>6</v>
      </c>
      <c r="B3" s="1" t="s">
        <v>54</v>
      </c>
      <c r="C3" s="1">
        <f>VLOOKUP(Table135[[#This Row],[Code]],'Main Storage'!A:D,3,0)</f>
        <v>1440</v>
      </c>
      <c r="D3" s="1">
        <f>VLOOKUP(Table135[[#This Row],[Code]],Iowa!A:F,6,0)</f>
        <v>120</v>
      </c>
      <c r="E3" s="11">
        <v>30</v>
      </c>
      <c r="F3" s="1">
        <f>Table135[[#This Row],[Box]]-Table135[[#This Row],[Order]]</f>
        <v>90</v>
      </c>
    </row>
    <row r="4" spans="1:6" x14ac:dyDescent="0.25">
      <c r="A4" s="1" t="s">
        <v>7</v>
      </c>
      <c r="B4" s="1" t="s">
        <v>55</v>
      </c>
      <c r="C4" s="1">
        <f>VLOOKUP(Table135[[#This Row],[Code]],'Main Storage'!A:D,3,0)</f>
        <v>1383</v>
      </c>
      <c r="D4" s="1">
        <f>VLOOKUP(Table135[[#This Row],[Code]],Iowa!A:F,6,0)</f>
        <v>115</v>
      </c>
      <c r="E4" s="11"/>
      <c r="F4" s="1">
        <f>Table135[[#This Row],[Box]]-Table135[[#This Row],[Order]]</f>
        <v>115</v>
      </c>
    </row>
    <row r="5" spans="1:6" x14ac:dyDescent="0.25">
      <c r="A5" s="1" t="s">
        <v>8</v>
      </c>
      <c r="B5" s="1" t="s">
        <v>56</v>
      </c>
      <c r="C5" s="1">
        <f>VLOOKUP(Table135[[#This Row],[Code]],'Main Storage'!A:D,3,0)</f>
        <v>1376</v>
      </c>
      <c r="D5" s="1">
        <f>VLOOKUP(Table135[[#This Row],[Code]],Iowa!A:F,6,0)</f>
        <v>114</v>
      </c>
      <c r="E5" s="11"/>
      <c r="F5" s="1">
        <f>Table135[[#This Row],[Box]]-Table135[[#This Row],[Order]]</f>
        <v>114</v>
      </c>
    </row>
    <row r="6" spans="1:6" x14ac:dyDescent="0.25">
      <c r="A6" s="1" t="s">
        <v>9</v>
      </c>
      <c r="B6" s="1" t="s">
        <v>57</v>
      </c>
      <c r="C6" s="1">
        <f>VLOOKUP(Table135[[#This Row],[Code]],'Main Storage'!A:D,3,0)</f>
        <v>826</v>
      </c>
      <c r="D6" s="1">
        <f>VLOOKUP(Table135[[#This Row],[Code]],Iowa!A:F,6,0)</f>
        <v>68</v>
      </c>
      <c r="E6" s="11"/>
      <c r="F6" s="1">
        <f>Table135[[#This Row],[Box]]-Table135[[#This Row],[Order]]</f>
        <v>68</v>
      </c>
    </row>
    <row r="7" spans="1:6" x14ac:dyDescent="0.25">
      <c r="A7" s="1" t="s">
        <v>10</v>
      </c>
      <c r="B7" s="1" t="s">
        <v>58</v>
      </c>
      <c r="C7" s="1">
        <f>VLOOKUP(Table135[[#This Row],[Code]],'Main Storage'!A:D,3,0)</f>
        <v>939</v>
      </c>
      <c r="D7" s="1">
        <f>VLOOKUP(Table135[[#This Row],[Code]],Iowa!A:F,6,0)</f>
        <v>78</v>
      </c>
      <c r="E7" s="11"/>
      <c r="F7" s="1">
        <f>Table135[[#This Row],[Box]]-Table135[[#This Row],[Order]]</f>
        <v>78</v>
      </c>
    </row>
    <row r="8" spans="1:6" x14ac:dyDescent="0.25">
      <c r="A8" s="1" t="s">
        <v>11</v>
      </c>
      <c r="B8" s="1" t="s">
        <v>59</v>
      </c>
      <c r="C8" s="1">
        <f>VLOOKUP(Table135[[#This Row],[Code]],'Main Storage'!A:D,3,0)</f>
        <v>908</v>
      </c>
      <c r="D8" s="1">
        <f>VLOOKUP(Table135[[#This Row],[Code]],Iowa!A:F,6,0)</f>
        <v>75</v>
      </c>
      <c r="E8" s="11"/>
      <c r="F8" s="1">
        <f>Table135[[#This Row],[Box]]-Table135[[#This Row],[Order]]</f>
        <v>75</v>
      </c>
    </row>
    <row r="9" spans="1:6" x14ac:dyDescent="0.25">
      <c r="A9" s="1" t="s">
        <v>12</v>
      </c>
      <c r="B9" s="1" t="s">
        <v>60</v>
      </c>
      <c r="C9" s="1">
        <f>VLOOKUP(Table135[[#This Row],[Code]],'Main Storage'!A:D,3,0)</f>
        <v>675</v>
      </c>
      <c r="D9" s="1">
        <f>VLOOKUP(Table135[[#This Row],[Code]],Iowa!A:F,6,0)</f>
        <v>56</v>
      </c>
      <c r="E9" s="11"/>
      <c r="F9" s="1">
        <f>Table135[[#This Row],[Box]]-Table135[[#This Row],[Order]]</f>
        <v>56</v>
      </c>
    </row>
    <row r="10" spans="1:6" x14ac:dyDescent="0.25">
      <c r="A10" s="1" t="s">
        <v>13</v>
      </c>
      <c r="B10" s="1" t="s">
        <v>61</v>
      </c>
      <c r="C10" s="1">
        <f>VLOOKUP(Table135[[#This Row],[Code]],'Main Storage'!A:D,3,0)</f>
        <v>590</v>
      </c>
      <c r="D10" s="1">
        <f>VLOOKUP(Table135[[#This Row],[Code]],Iowa!A:F,6,0)</f>
        <v>49</v>
      </c>
      <c r="E10" s="11"/>
      <c r="F10" s="1">
        <f>Table135[[#This Row],[Box]]-Table135[[#This Row],[Order]]</f>
        <v>49</v>
      </c>
    </row>
    <row r="11" spans="1:6" x14ac:dyDescent="0.25">
      <c r="A11" s="1" t="s">
        <v>14</v>
      </c>
      <c r="B11" s="1" t="s">
        <v>62</v>
      </c>
      <c r="C11" s="1">
        <f>VLOOKUP(Table135[[#This Row],[Code]],'Main Storage'!A:D,3,0)</f>
        <v>973</v>
      </c>
      <c r="D11" s="1">
        <f>VLOOKUP(Table135[[#This Row],[Code]],Iowa!A:F,6,0)</f>
        <v>81</v>
      </c>
      <c r="E11" s="11"/>
      <c r="F11" s="1">
        <f>Table135[[#This Row],[Box]]-Table135[[#This Row],[Order]]</f>
        <v>81</v>
      </c>
    </row>
    <row r="12" spans="1:6" x14ac:dyDescent="0.25">
      <c r="A12" s="1" t="s">
        <v>15</v>
      </c>
      <c r="B12" s="1" t="s">
        <v>63</v>
      </c>
      <c r="C12" s="1">
        <f>VLOOKUP(Table135[[#This Row],[Code]],'Main Storage'!A:D,3,0)</f>
        <v>608</v>
      </c>
      <c r="D12" s="1">
        <f>VLOOKUP(Table135[[#This Row],[Code]],Iowa!A:F,6,0)</f>
        <v>50</v>
      </c>
      <c r="E12" s="11"/>
      <c r="F12" s="1">
        <f>Table135[[#This Row],[Box]]-Table135[[#This Row],[Order]]</f>
        <v>50</v>
      </c>
    </row>
    <row r="13" spans="1:6" x14ac:dyDescent="0.25">
      <c r="A13" s="1" t="s">
        <v>16</v>
      </c>
      <c r="B13" s="1" t="s">
        <v>64</v>
      </c>
      <c r="C13" s="1">
        <f>VLOOKUP(Table135[[#This Row],[Code]],'Main Storage'!A:D,3,0)</f>
        <v>1191</v>
      </c>
      <c r="D13" s="1">
        <f>VLOOKUP(Table135[[#This Row],[Code]],Iowa!A:F,6,0)</f>
        <v>99</v>
      </c>
      <c r="E13" s="11"/>
      <c r="F13" s="1">
        <f>Table135[[#This Row],[Box]]-Table135[[#This Row],[Order]]</f>
        <v>99</v>
      </c>
    </row>
    <row r="14" spans="1:6" x14ac:dyDescent="0.25">
      <c r="A14" s="1" t="s">
        <v>17</v>
      </c>
      <c r="B14" s="1" t="s">
        <v>65</v>
      </c>
      <c r="C14" s="1">
        <f>VLOOKUP(Table135[[#This Row],[Code]],'Main Storage'!A:D,3,0)</f>
        <v>336</v>
      </c>
      <c r="D14" s="1">
        <f>VLOOKUP(Table135[[#This Row],[Code]],Iowa!A:F,6,0)</f>
        <v>28</v>
      </c>
      <c r="E14" s="11"/>
      <c r="F14" s="1">
        <f>Table135[[#This Row],[Box]]-Table135[[#This Row],[Order]]</f>
        <v>28</v>
      </c>
    </row>
    <row r="15" spans="1:6" x14ac:dyDescent="0.25">
      <c r="A15" s="1" t="s">
        <v>18</v>
      </c>
      <c r="B15" s="1" t="s">
        <v>66</v>
      </c>
      <c r="C15" s="1">
        <f>VLOOKUP(Table135[[#This Row],[Code]],'Main Storage'!A:D,3,0)</f>
        <v>98</v>
      </c>
      <c r="D15" s="1">
        <f>VLOOKUP(Table135[[#This Row],[Code]],Iowa!A:F,6,0)</f>
        <v>8</v>
      </c>
      <c r="E15" s="11"/>
      <c r="F15" s="1">
        <f>Table135[[#This Row],[Box]]-Table135[[#This Row],[Order]]</f>
        <v>8</v>
      </c>
    </row>
    <row r="16" spans="1:6" x14ac:dyDescent="0.25">
      <c r="A16" s="1" t="s">
        <v>19</v>
      </c>
      <c r="B16" s="1" t="s">
        <v>67</v>
      </c>
      <c r="C16" s="1">
        <f>VLOOKUP(Table135[[#This Row],[Code]],'Main Storage'!A:D,3,0)</f>
        <v>145</v>
      </c>
      <c r="D16" s="1">
        <f>VLOOKUP(Table135[[#This Row],[Code]],Iowa!A:F,6,0)</f>
        <v>12</v>
      </c>
      <c r="E16" s="11"/>
      <c r="F16" s="1">
        <f>Table135[[#This Row],[Box]]-Table135[[#This Row],[Order]]</f>
        <v>12</v>
      </c>
    </row>
    <row r="17" spans="1:6" x14ac:dyDescent="0.25">
      <c r="A17" s="1" t="s">
        <v>20</v>
      </c>
      <c r="B17" s="1" t="s">
        <v>68</v>
      </c>
      <c r="C17" s="1">
        <f>VLOOKUP(Table135[[#This Row],[Code]],'Main Storage'!A:D,3,0)</f>
        <v>823</v>
      </c>
      <c r="D17" s="1">
        <f>VLOOKUP(Table135[[#This Row],[Code]],Iowa!A:F,6,0)</f>
        <v>68</v>
      </c>
      <c r="E17" s="11"/>
      <c r="F17" s="1">
        <f>Table135[[#This Row],[Box]]-Table135[[#This Row],[Order]]</f>
        <v>68</v>
      </c>
    </row>
    <row r="18" spans="1:6" x14ac:dyDescent="0.25">
      <c r="A18" s="1" t="s">
        <v>21</v>
      </c>
      <c r="B18" s="1" t="s">
        <v>69</v>
      </c>
      <c r="C18" s="1">
        <f>VLOOKUP(Table135[[#This Row],[Code]],'Main Storage'!A:D,3,0)</f>
        <v>1238</v>
      </c>
      <c r="D18" s="1">
        <f>VLOOKUP(Table135[[#This Row],[Code]],Iowa!A:F,6,0)</f>
        <v>103</v>
      </c>
      <c r="E18" s="11"/>
      <c r="F18" s="1">
        <f>Table135[[#This Row],[Box]]-Table135[[#This Row],[Order]]</f>
        <v>103</v>
      </c>
    </row>
    <row r="19" spans="1:6" x14ac:dyDescent="0.25">
      <c r="A19" s="1" t="s">
        <v>22</v>
      </c>
      <c r="B19" s="1" t="s">
        <v>70</v>
      </c>
      <c r="C19" s="1">
        <f>VLOOKUP(Table135[[#This Row],[Code]],'Main Storage'!A:D,3,0)</f>
        <v>624</v>
      </c>
      <c r="D19" s="1">
        <f>VLOOKUP(Table135[[#This Row],[Code]],Iowa!A:F,6,0)</f>
        <v>52</v>
      </c>
      <c r="E19" s="11"/>
      <c r="F19" s="1">
        <f>Table135[[#This Row],[Box]]-Table135[[#This Row],[Order]]</f>
        <v>52</v>
      </c>
    </row>
    <row r="20" spans="1:6" x14ac:dyDescent="0.25">
      <c r="A20" s="1" t="s">
        <v>23</v>
      </c>
      <c r="B20" s="1" t="s">
        <v>71</v>
      </c>
      <c r="C20" s="1">
        <f>VLOOKUP(Table135[[#This Row],[Code]],'Main Storage'!A:D,3,0)</f>
        <v>788</v>
      </c>
      <c r="D20" s="1">
        <f>VLOOKUP(Table135[[#This Row],[Code]],Iowa!A:F,6,0)</f>
        <v>65</v>
      </c>
      <c r="E20" s="11"/>
      <c r="F20" s="1">
        <f>Table135[[#This Row],[Box]]-Table135[[#This Row],[Order]]</f>
        <v>65</v>
      </c>
    </row>
    <row r="21" spans="1:6" x14ac:dyDescent="0.25">
      <c r="A21" s="1" t="s">
        <v>24</v>
      </c>
      <c r="B21" s="1" t="s">
        <v>72</v>
      </c>
      <c r="C21" s="1">
        <f>VLOOKUP(Table135[[#This Row],[Code]],'Main Storage'!A:D,3,0)</f>
        <v>368</v>
      </c>
      <c r="D21" s="1">
        <f>VLOOKUP(Table135[[#This Row],[Code]],Iowa!A:F,6,0)</f>
        <v>30</v>
      </c>
      <c r="E21" s="11"/>
      <c r="F21" s="1">
        <f>Table135[[#This Row],[Box]]-Table135[[#This Row],[Order]]</f>
        <v>30</v>
      </c>
    </row>
    <row r="22" spans="1:6" x14ac:dyDescent="0.25">
      <c r="A22" s="1" t="s">
        <v>25</v>
      </c>
      <c r="B22" s="1" t="s">
        <v>73</v>
      </c>
      <c r="C22" s="1">
        <f>VLOOKUP(Table135[[#This Row],[Code]],'Main Storage'!A:D,3,0)</f>
        <v>281</v>
      </c>
      <c r="D22" s="1">
        <f>VLOOKUP(Table135[[#This Row],[Code]],Iowa!A:F,6,0)</f>
        <v>23</v>
      </c>
      <c r="E22" s="11"/>
      <c r="F22" s="1">
        <f>Table135[[#This Row],[Box]]-Table135[[#This Row],[Order]]</f>
        <v>23</v>
      </c>
    </row>
    <row r="23" spans="1:6" x14ac:dyDescent="0.25">
      <c r="A23" s="1" t="s">
        <v>26</v>
      </c>
      <c r="B23" s="1" t="s">
        <v>74</v>
      </c>
      <c r="C23" s="1">
        <f>VLOOKUP(Table135[[#This Row],[Code]],'Main Storage'!A:D,3,0)</f>
        <v>1480</v>
      </c>
      <c r="D23" s="1">
        <f>VLOOKUP(Table135[[#This Row],[Code]],Iowa!A:F,6,0)</f>
        <v>123</v>
      </c>
      <c r="E23" s="11"/>
      <c r="F23" s="1">
        <f>Table135[[#This Row],[Box]]-Table135[[#This Row],[Order]]</f>
        <v>123</v>
      </c>
    </row>
    <row r="24" spans="1:6" x14ac:dyDescent="0.25">
      <c r="A24" s="1" t="s">
        <v>27</v>
      </c>
      <c r="B24" s="1" t="s">
        <v>75</v>
      </c>
      <c r="C24" s="1">
        <f>VLOOKUP(Table135[[#This Row],[Code]],'Main Storage'!A:D,3,0)</f>
        <v>1088</v>
      </c>
      <c r="D24" s="1">
        <f>VLOOKUP(Table135[[#This Row],[Code]],Iowa!A:F,6,0)</f>
        <v>90</v>
      </c>
      <c r="E24" s="11"/>
      <c r="F24" s="1">
        <f>Table135[[#This Row],[Box]]-Table135[[#This Row],[Order]]</f>
        <v>90</v>
      </c>
    </row>
    <row r="25" spans="1:6" x14ac:dyDescent="0.25">
      <c r="A25" s="1" t="s">
        <v>28</v>
      </c>
      <c r="B25" s="1" t="s">
        <v>76</v>
      </c>
      <c r="C25" s="1">
        <f>VLOOKUP(Table135[[#This Row],[Code]],'Main Storage'!A:D,3,0)</f>
        <v>8</v>
      </c>
      <c r="D25" s="1">
        <f>VLOOKUP(Table135[[#This Row],[Code]],Iowa!A:F,6,0)</f>
        <v>0</v>
      </c>
      <c r="E25" s="11"/>
      <c r="F25" s="1">
        <f>Table135[[#This Row],[Box]]-Table135[[#This Row],[Order]]</f>
        <v>0</v>
      </c>
    </row>
    <row r="26" spans="1:6" x14ac:dyDescent="0.25">
      <c r="A26" s="1" t="s">
        <v>29</v>
      </c>
      <c r="B26" s="1" t="s">
        <v>77</v>
      </c>
      <c r="C26" s="1">
        <f>VLOOKUP(Table135[[#This Row],[Code]],'Main Storage'!A:D,3,0)</f>
        <v>82</v>
      </c>
      <c r="D26" s="1">
        <f>VLOOKUP(Table135[[#This Row],[Code]],Iowa!A:F,6,0)</f>
        <v>6</v>
      </c>
      <c r="E26" s="11"/>
      <c r="F26" s="1">
        <f>Table135[[#This Row],[Box]]-Table135[[#This Row],[Order]]</f>
        <v>6</v>
      </c>
    </row>
    <row r="27" spans="1:6" x14ac:dyDescent="0.25">
      <c r="A27" s="1" t="s">
        <v>30</v>
      </c>
      <c r="B27" s="1" t="s">
        <v>78</v>
      </c>
      <c r="C27" s="1">
        <f>VLOOKUP(Table135[[#This Row],[Code]],'Main Storage'!A:D,3,0)</f>
        <v>518</v>
      </c>
      <c r="D27" s="1">
        <f>VLOOKUP(Table135[[#This Row],[Code]],Iowa!A:F,6,0)</f>
        <v>43</v>
      </c>
      <c r="E27" s="11"/>
      <c r="F27" s="1">
        <f>Table135[[#This Row],[Box]]-Table135[[#This Row],[Order]]</f>
        <v>43</v>
      </c>
    </row>
    <row r="28" spans="1:6" x14ac:dyDescent="0.25">
      <c r="A28" s="1" t="s">
        <v>31</v>
      </c>
      <c r="B28" s="1" t="s">
        <v>79</v>
      </c>
      <c r="C28" s="1">
        <f>VLOOKUP(Table135[[#This Row],[Code]],'Main Storage'!A:D,3,0)</f>
        <v>459</v>
      </c>
      <c r="D28" s="1">
        <f>VLOOKUP(Table135[[#This Row],[Code]],Iowa!A:F,6,0)</f>
        <v>38</v>
      </c>
      <c r="E28" s="11"/>
      <c r="F28" s="1">
        <f>Table135[[#This Row],[Box]]-Table135[[#This Row],[Order]]</f>
        <v>38</v>
      </c>
    </row>
    <row r="29" spans="1:6" x14ac:dyDescent="0.25">
      <c r="A29" s="1" t="s">
        <v>32</v>
      </c>
      <c r="B29" s="1" t="s">
        <v>80</v>
      </c>
      <c r="C29" s="1">
        <f>VLOOKUP(Table135[[#This Row],[Code]],'Main Storage'!A:D,3,0)</f>
        <v>305</v>
      </c>
      <c r="D29" s="1">
        <f>VLOOKUP(Table135[[#This Row],[Code]],Iowa!A:F,6,0)</f>
        <v>25</v>
      </c>
      <c r="E29" s="11"/>
      <c r="F29" s="1">
        <f>Table135[[#This Row],[Box]]-Table135[[#This Row],[Order]]</f>
        <v>25</v>
      </c>
    </row>
    <row r="30" spans="1:6" x14ac:dyDescent="0.25">
      <c r="A30" s="1" t="s">
        <v>33</v>
      </c>
      <c r="B30" s="1" t="s">
        <v>81</v>
      </c>
      <c r="C30" s="1">
        <f>VLOOKUP(Table135[[#This Row],[Code]],'Main Storage'!A:D,3,0)</f>
        <v>348</v>
      </c>
      <c r="D30" s="1">
        <f>VLOOKUP(Table135[[#This Row],[Code]],Iowa!A:F,6,0)</f>
        <v>29</v>
      </c>
      <c r="E30" s="11"/>
      <c r="F30" s="1">
        <f>Table135[[#This Row],[Box]]-Table135[[#This Row],[Order]]</f>
        <v>29</v>
      </c>
    </row>
    <row r="31" spans="1:6" x14ac:dyDescent="0.25">
      <c r="A31" s="1" t="s">
        <v>34</v>
      </c>
      <c r="B31" s="1" t="s">
        <v>82</v>
      </c>
      <c r="C31" s="1">
        <f>VLOOKUP(Table135[[#This Row],[Code]],'Main Storage'!A:D,3,0)</f>
        <v>222</v>
      </c>
      <c r="D31" s="1">
        <f>VLOOKUP(Table135[[#This Row],[Code]],Iowa!A:F,6,0)</f>
        <v>18</v>
      </c>
      <c r="E31" s="11"/>
      <c r="F31" s="1">
        <f>Table135[[#This Row],[Box]]-Table135[[#This Row],[Order]]</f>
        <v>18</v>
      </c>
    </row>
    <row r="32" spans="1:6" x14ac:dyDescent="0.25">
      <c r="A32" s="1" t="s">
        <v>35</v>
      </c>
      <c r="B32" s="1" t="s">
        <v>83</v>
      </c>
      <c r="C32" s="1">
        <f>VLOOKUP(Table135[[#This Row],[Code]],'Main Storage'!A:D,3,0)</f>
        <v>729</v>
      </c>
      <c r="D32" s="1">
        <f>VLOOKUP(Table135[[#This Row],[Code]],Iowa!A:F,6,0)</f>
        <v>60</v>
      </c>
      <c r="E32" s="11"/>
      <c r="F32" s="1">
        <f>Table135[[#This Row],[Box]]-Table135[[#This Row],[Order]]</f>
        <v>60</v>
      </c>
    </row>
    <row r="33" spans="1:6" x14ac:dyDescent="0.25">
      <c r="A33" s="1" t="s">
        <v>36</v>
      </c>
      <c r="B33" s="1" t="s">
        <v>84</v>
      </c>
      <c r="C33" s="1">
        <f>VLOOKUP(Table135[[#This Row],[Code]],'Main Storage'!A:D,3,0)</f>
        <v>874</v>
      </c>
      <c r="D33" s="1">
        <f>VLOOKUP(Table135[[#This Row],[Code]],Iowa!A:F,6,0)</f>
        <v>72</v>
      </c>
      <c r="E33" s="11"/>
      <c r="F33" s="1">
        <f>Table135[[#This Row],[Box]]-Table135[[#This Row],[Order]]</f>
        <v>72</v>
      </c>
    </row>
    <row r="34" spans="1:6" x14ac:dyDescent="0.25">
      <c r="A34" s="1" t="s">
        <v>37</v>
      </c>
      <c r="B34" s="1" t="s">
        <v>85</v>
      </c>
      <c r="C34" s="1">
        <f>VLOOKUP(Table135[[#This Row],[Code]],'Main Storage'!A:D,3,0)</f>
        <v>377</v>
      </c>
      <c r="D34" s="1">
        <f>VLOOKUP(Table135[[#This Row],[Code]],Iowa!A:F,6,0)</f>
        <v>31</v>
      </c>
      <c r="E34" s="11"/>
      <c r="F34" s="1">
        <f>Table135[[#This Row],[Box]]-Table135[[#This Row],[Order]]</f>
        <v>31</v>
      </c>
    </row>
    <row r="35" spans="1:6" x14ac:dyDescent="0.25">
      <c r="A35" s="1" t="s">
        <v>38</v>
      </c>
      <c r="B35" s="1" t="s">
        <v>86</v>
      </c>
      <c r="C35" s="1">
        <f>VLOOKUP(Table135[[#This Row],[Code]],'Main Storage'!A:D,3,0)</f>
        <v>1189</v>
      </c>
      <c r="D35" s="1">
        <f>VLOOKUP(Table135[[#This Row],[Code]],Iowa!A:F,6,0)</f>
        <v>99</v>
      </c>
      <c r="E35" s="11"/>
      <c r="F35" s="1">
        <f>Table135[[#This Row],[Box]]-Table135[[#This Row],[Order]]</f>
        <v>99</v>
      </c>
    </row>
    <row r="36" spans="1:6" x14ac:dyDescent="0.25">
      <c r="A36" s="1" t="s">
        <v>39</v>
      </c>
      <c r="B36" s="1" t="s">
        <v>87</v>
      </c>
      <c r="C36" s="1">
        <f>VLOOKUP(Table135[[#This Row],[Code]],'Main Storage'!A:D,3,0)</f>
        <v>1006</v>
      </c>
      <c r="D36" s="1">
        <f>VLOOKUP(Table135[[#This Row],[Code]],Iowa!A:F,6,0)</f>
        <v>83</v>
      </c>
      <c r="E36" s="11"/>
      <c r="F36" s="1">
        <f>Table135[[#This Row],[Box]]-Table135[[#This Row],[Order]]</f>
        <v>83</v>
      </c>
    </row>
    <row r="37" spans="1:6" x14ac:dyDescent="0.25">
      <c r="A37" s="1" t="s">
        <v>40</v>
      </c>
      <c r="B37" s="1" t="s">
        <v>88</v>
      </c>
      <c r="C37" s="1">
        <f>VLOOKUP(Table135[[#This Row],[Code]],'Main Storage'!A:D,3,0)</f>
        <v>59</v>
      </c>
      <c r="D37" s="1">
        <f>VLOOKUP(Table135[[#This Row],[Code]],Iowa!A:F,6,0)</f>
        <v>4</v>
      </c>
      <c r="E37" s="11"/>
      <c r="F37" s="1">
        <f>Table135[[#This Row],[Box]]-Table135[[#This Row],[Order]]</f>
        <v>4</v>
      </c>
    </row>
    <row r="38" spans="1:6" x14ac:dyDescent="0.25">
      <c r="A38" s="1" t="s">
        <v>41</v>
      </c>
      <c r="B38" s="1" t="s">
        <v>89</v>
      </c>
      <c r="C38" s="1">
        <f>VLOOKUP(Table135[[#This Row],[Code]],'Main Storage'!A:D,3,0)</f>
        <v>1087</v>
      </c>
      <c r="D38" s="1">
        <f>VLOOKUP(Table135[[#This Row],[Code]],Iowa!A:F,6,0)</f>
        <v>90</v>
      </c>
      <c r="E38" s="11"/>
      <c r="F38" s="1">
        <f>Table135[[#This Row],[Box]]-Table135[[#This Row],[Order]]</f>
        <v>90</v>
      </c>
    </row>
    <row r="39" spans="1:6" x14ac:dyDescent="0.25">
      <c r="A39" s="1" t="s">
        <v>42</v>
      </c>
      <c r="B39" s="1" t="s">
        <v>90</v>
      </c>
      <c r="C39" s="1">
        <f>VLOOKUP(Table135[[#This Row],[Code]],'Main Storage'!A:D,3,0)</f>
        <v>281</v>
      </c>
      <c r="D39" s="1">
        <f>VLOOKUP(Table135[[#This Row],[Code]],Iowa!A:F,6,0)</f>
        <v>23</v>
      </c>
      <c r="E39" s="11"/>
      <c r="F39" s="1">
        <f>Table135[[#This Row],[Box]]-Table135[[#This Row],[Order]]</f>
        <v>23</v>
      </c>
    </row>
    <row r="40" spans="1:6" x14ac:dyDescent="0.25">
      <c r="A40" s="1" t="s">
        <v>43</v>
      </c>
      <c r="B40" s="1" t="s">
        <v>91</v>
      </c>
      <c r="C40" s="1">
        <f>VLOOKUP(Table135[[#This Row],[Code]],'Main Storage'!A:D,3,0)</f>
        <v>1125</v>
      </c>
      <c r="D40" s="1">
        <f>VLOOKUP(Table135[[#This Row],[Code]],Iowa!A:F,6,0)</f>
        <v>93</v>
      </c>
      <c r="E40" s="11"/>
      <c r="F40" s="1">
        <f>Table135[[#This Row],[Box]]-Table135[[#This Row],[Order]]</f>
        <v>93</v>
      </c>
    </row>
    <row r="41" spans="1:6" x14ac:dyDescent="0.25">
      <c r="A41" s="1" t="s">
        <v>44</v>
      </c>
      <c r="B41" s="1" t="s">
        <v>92</v>
      </c>
      <c r="C41" s="1">
        <f>VLOOKUP(Table135[[#This Row],[Code]],'Main Storage'!A:D,3,0)</f>
        <v>281</v>
      </c>
      <c r="D41" s="1">
        <f>VLOOKUP(Table135[[#This Row],[Code]],Iowa!A:F,6,0)</f>
        <v>23</v>
      </c>
      <c r="E41" s="11"/>
      <c r="F41" s="1">
        <f>Table135[[#This Row],[Box]]-Table135[[#This Row],[Order]]</f>
        <v>23</v>
      </c>
    </row>
    <row r="42" spans="1:6" x14ac:dyDescent="0.25">
      <c r="A42" s="1" t="s">
        <v>45</v>
      </c>
      <c r="B42" s="1" t="s">
        <v>93</v>
      </c>
      <c r="C42" s="1">
        <f>VLOOKUP(Table135[[#This Row],[Code]],'Main Storage'!A:D,3,0)</f>
        <v>354</v>
      </c>
      <c r="D42" s="1">
        <f>VLOOKUP(Table135[[#This Row],[Code]],Iowa!A:F,6,0)</f>
        <v>29</v>
      </c>
      <c r="E42" s="11"/>
      <c r="F42" s="1">
        <f>Table135[[#This Row],[Box]]-Table135[[#This Row],[Order]]</f>
        <v>29</v>
      </c>
    </row>
    <row r="43" spans="1:6" x14ac:dyDescent="0.25">
      <c r="A43" s="1" t="s">
        <v>46</v>
      </c>
      <c r="B43" s="1" t="s">
        <v>94</v>
      </c>
      <c r="C43" s="1">
        <f>VLOOKUP(Table135[[#This Row],[Code]],'Main Storage'!A:D,3,0)</f>
        <v>649</v>
      </c>
      <c r="D43" s="1">
        <f>VLOOKUP(Table135[[#This Row],[Code]],Iowa!A:F,6,0)</f>
        <v>54</v>
      </c>
      <c r="E43" s="11"/>
      <c r="F43" s="1">
        <f>Table135[[#This Row],[Box]]-Table135[[#This Row],[Order]]</f>
        <v>54</v>
      </c>
    </row>
    <row r="44" spans="1:6" x14ac:dyDescent="0.25">
      <c r="A44" s="1" t="s">
        <v>47</v>
      </c>
      <c r="B44" s="1" t="s">
        <v>95</v>
      </c>
      <c r="C44" s="1">
        <f>VLOOKUP(Table135[[#This Row],[Code]],'Main Storage'!A:D,3,0)</f>
        <v>1322</v>
      </c>
      <c r="D44" s="1">
        <f>VLOOKUP(Table135[[#This Row],[Code]],Iowa!A:F,6,0)</f>
        <v>110</v>
      </c>
      <c r="E44" s="11"/>
      <c r="F44" s="1">
        <f>Table135[[#This Row],[Box]]-Table135[[#This Row],[Order]]</f>
        <v>110</v>
      </c>
    </row>
    <row r="45" spans="1:6" x14ac:dyDescent="0.25">
      <c r="A45" s="1" t="s">
        <v>48</v>
      </c>
      <c r="B45" s="1" t="s">
        <v>96</v>
      </c>
      <c r="C45" s="1">
        <f>VLOOKUP(Table135[[#This Row],[Code]],'Main Storage'!A:D,3,0)</f>
        <v>1038</v>
      </c>
      <c r="D45" s="1">
        <f>VLOOKUP(Table135[[#This Row],[Code]],Iowa!A:F,6,0)</f>
        <v>86</v>
      </c>
      <c r="E45" s="11"/>
      <c r="F45" s="1">
        <f>Table135[[#This Row],[Box]]-Table135[[#This Row],[Order]]</f>
        <v>86</v>
      </c>
    </row>
    <row r="46" spans="1:6" x14ac:dyDescent="0.25">
      <c r="A46" s="1" t="s">
        <v>49</v>
      </c>
      <c r="B46" s="1" t="s">
        <v>97</v>
      </c>
      <c r="C46" s="1">
        <f>VLOOKUP(Table135[[#This Row],[Code]],'Main Storage'!A:D,3,0)</f>
        <v>340</v>
      </c>
      <c r="D46" s="1">
        <f>VLOOKUP(Table135[[#This Row],[Code]],Iowa!A:F,6,0)</f>
        <v>28</v>
      </c>
      <c r="E46" s="11"/>
      <c r="F46" s="1">
        <f>Table135[[#This Row],[Box]]-Table135[[#This Row],[Order]]</f>
        <v>28</v>
      </c>
    </row>
    <row r="47" spans="1:6" x14ac:dyDescent="0.25">
      <c r="A47" s="1" t="s">
        <v>50</v>
      </c>
      <c r="B47" s="1" t="s">
        <v>98</v>
      </c>
      <c r="C47" s="1">
        <f>VLOOKUP(Table135[[#This Row],[Code]],'Main Storage'!A:D,3,0)</f>
        <v>399</v>
      </c>
      <c r="D47" s="1">
        <f>VLOOKUP(Table135[[#This Row],[Code]],Iowa!A:F,6,0)</f>
        <v>33</v>
      </c>
      <c r="E47" s="11"/>
      <c r="F47" s="1">
        <f>Table135[[#This Row],[Box]]-Table135[[#This Row],[Order]]</f>
        <v>33</v>
      </c>
    </row>
    <row r="48" spans="1:6" x14ac:dyDescent="0.25">
      <c r="A48" s="1" t="s">
        <v>51</v>
      </c>
      <c r="B48" s="1" t="s">
        <v>99</v>
      </c>
      <c r="C48" s="1">
        <f>VLOOKUP(Table135[[#This Row],[Code]],'Main Storage'!A:D,3,0)</f>
        <v>468</v>
      </c>
      <c r="D48" s="1">
        <f>VLOOKUP(Table135[[#This Row],[Code]],Iowa!A:F,6,0)</f>
        <v>39</v>
      </c>
      <c r="E48" s="11"/>
      <c r="F48" s="1">
        <f>Table135[[#This Row],[Box]]-Table135[[#This Row],[Order]]</f>
        <v>39</v>
      </c>
    </row>
    <row r="49" spans="1:6" x14ac:dyDescent="0.25">
      <c r="A49" s="1" t="s">
        <v>52</v>
      </c>
      <c r="B49" s="1" t="s">
        <v>100</v>
      </c>
      <c r="C49" s="1">
        <f>VLOOKUP(Table135[[#This Row],[Code]],'Main Storage'!A:D,3,0)</f>
        <v>829</v>
      </c>
      <c r="D49" s="1">
        <f>VLOOKUP(Table135[[#This Row],[Code]],Iowa!A:F,6,0)</f>
        <v>69</v>
      </c>
      <c r="E49" s="11"/>
      <c r="F49" s="1">
        <f>Table135[[#This Row],[Box]]-Table135[[#This Row],[Order]]</f>
        <v>69</v>
      </c>
    </row>
    <row r="50" spans="1:6" x14ac:dyDescent="0.25">
      <c r="A50" s="1" t="s">
        <v>53</v>
      </c>
      <c r="B50" s="1" t="s">
        <v>101</v>
      </c>
      <c r="C50" s="1">
        <f>VLOOKUP(Table135[[#This Row],[Code]],'Main Storage'!A:D,3,0)</f>
        <v>1420</v>
      </c>
      <c r="D50" s="1">
        <f>VLOOKUP(Table135[[#This Row],[Code]],Iowa!A:F,6,0)</f>
        <v>118</v>
      </c>
      <c r="E50" s="11"/>
      <c r="F50" s="1">
        <f>Table135[[#This Row],[Box]]-Table135[[#This Row],[Order]]</f>
        <v>118</v>
      </c>
    </row>
    <row r="51" spans="1:6" x14ac:dyDescent="0.25">
      <c r="A51" s="1" t="s">
        <v>102</v>
      </c>
      <c r="B51" s="1" t="s">
        <v>152</v>
      </c>
      <c r="C51" s="1">
        <f>VLOOKUP(Table135[[#This Row],[Code]],'Main Storage'!A:D,3,0)</f>
        <v>765</v>
      </c>
      <c r="D51" s="1">
        <f>VLOOKUP(Table135[[#This Row],[Code]],Iowa!A:F,6,0)</f>
        <v>15</v>
      </c>
      <c r="E51" s="11"/>
      <c r="F51" s="1">
        <f>Table135[[#This Row],[Box]]-Table135[[#This Row],[Order]]</f>
        <v>15</v>
      </c>
    </row>
    <row r="52" spans="1:6" x14ac:dyDescent="0.25">
      <c r="A52" s="1" t="s">
        <v>103</v>
      </c>
      <c r="B52" s="1" t="s">
        <v>153</v>
      </c>
      <c r="C52" s="1">
        <f>VLOOKUP(Table135[[#This Row],[Code]],'Main Storage'!A:D,3,0)</f>
        <v>916</v>
      </c>
      <c r="D52" s="1">
        <f>VLOOKUP(Table135[[#This Row],[Code]],Iowa!A:F,6,0)</f>
        <v>19</v>
      </c>
      <c r="E52" s="11"/>
      <c r="F52" s="1">
        <f>Table135[[#This Row],[Box]]-Table135[[#This Row],[Order]]</f>
        <v>19</v>
      </c>
    </row>
    <row r="53" spans="1:6" x14ac:dyDescent="0.25">
      <c r="A53" s="1" t="s">
        <v>104</v>
      </c>
      <c r="B53" s="1" t="s">
        <v>154</v>
      </c>
      <c r="C53" s="1">
        <f>VLOOKUP(Table135[[#This Row],[Code]],'Main Storage'!A:D,3,0)</f>
        <v>1012</v>
      </c>
      <c r="D53" s="1">
        <f>VLOOKUP(Table135[[#This Row],[Code]],Iowa!A:F,6,0)</f>
        <v>21</v>
      </c>
      <c r="E53" s="11"/>
      <c r="F53" s="1">
        <f>Table135[[#This Row],[Box]]-Table135[[#This Row],[Order]]</f>
        <v>21</v>
      </c>
    </row>
    <row r="54" spans="1:6" x14ac:dyDescent="0.25">
      <c r="A54" s="1" t="s">
        <v>105</v>
      </c>
      <c r="B54" s="1" t="s">
        <v>155</v>
      </c>
      <c r="C54" s="1">
        <f>VLOOKUP(Table135[[#This Row],[Code]],'Main Storage'!A:D,3,0)</f>
        <v>299</v>
      </c>
      <c r="D54" s="1">
        <f>VLOOKUP(Table135[[#This Row],[Code]],Iowa!A:F,6,0)</f>
        <v>6</v>
      </c>
      <c r="E54" s="11"/>
      <c r="F54" s="1">
        <f>Table135[[#This Row],[Box]]-Table135[[#This Row],[Order]]</f>
        <v>6</v>
      </c>
    </row>
    <row r="55" spans="1:6" x14ac:dyDescent="0.25">
      <c r="A55" s="1" t="s">
        <v>106</v>
      </c>
      <c r="B55" s="1" t="s">
        <v>156</v>
      </c>
      <c r="C55" s="1">
        <f>VLOOKUP(Table135[[#This Row],[Code]],'Main Storage'!A:D,3,0)</f>
        <v>1361</v>
      </c>
      <c r="D55" s="1">
        <f>VLOOKUP(Table135[[#This Row],[Code]],Iowa!A:F,6,0)</f>
        <v>28</v>
      </c>
      <c r="E55" s="11"/>
      <c r="F55" s="1">
        <f>Table135[[#This Row],[Box]]-Table135[[#This Row],[Order]]</f>
        <v>28</v>
      </c>
    </row>
    <row r="56" spans="1:6" x14ac:dyDescent="0.25">
      <c r="A56" s="1" t="s">
        <v>107</v>
      </c>
      <c r="B56" s="1" t="s">
        <v>157</v>
      </c>
      <c r="C56" s="1">
        <f>VLOOKUP(Table135[[#This Row],[Code]],'Main Storage'!A:D,3,0)</f>
        <v>621</v>
      </c>
      <c r="D56" s="1">
        <f>VLOOKUP(Table135[[#This Row],[Code]],Iowa!A:F,6,0)</f>
        <v>12</v>
      </c>
      <c r="E56" s="11"/>
      <c r="F56" s="1">
        <f>Table135[[#This Row],[Box]]-Table135[[#This Row],[Order]]</f>
        <v>12</v>
      </c>
    </row>
    <row r="57" spans="1:6" x14ac:dyDescent="0.25">
      <c r="A57" s="1" t="s">
        <v>108</v>
      </c>
      <c r="B57" s="1" t="s">
        <v>158</v>
      </c>
      <c r="C57" s="1">
        <f>VLOOKUP(Table135[[#This Row],[Code]],'Main Storage'!A:D,3,0)</f>
        <v>775</v>
      </c>
      <c r="D57" s="1">
        <f>VLOOKUP(Table135[[#This Row],[Code]],Iowa!A:F,6,0)</f>
        <v>16</v>
      </c>
      <c r="E57" s="11"/>
      <c r="F57" s="1">
        <f>Table135[[#This Row],[Box]]-Table135[[#This Row],[Order]]</f>
        <v>16</v>
      </c>
    </row>
    <row r="58" spans="1:6" x14ac:dyDescent="0.25">
      <c r="A58" s="1" t="s">
        <v>109</v>
      </c>
      <c r="B58" s="1" t="s">
        <v>159</v>
      </c>
      <c r="C58" s="1">
        <f>VLOOKUP(Table135[[#This Row],[Code]],'Main Storage'!A:D,3,0)</f>
        <v>316</v>
      </c>
      <c r="D58" s="1">
        <f>VLOOKUP(Table135[[#This Row],[Code]],Iowa!A:F,6,0)</f>
        <v>6</v>
      </c>
      <c r="E58" s="11"/>
      <c r="F58" s="1">
        <f>Table135[[#This Row],[Box]]-Table135[[#This Row],[Order]]</f>
        <v>6</v>
      </c>
    </row>
    <row r="59" spans="1:6" x14ac:dyDescent="0.25">
      <c r="A59" s="1" t="s">
        <v>110</v>
      </c>
      <c r="B59" s="1" t="s">
        <v>160</v>
      </c>
      <c r="C59" s="1">
        <f>VLOOKUP(Table135[[#This Row],[Code]],'Main Storage'!A:D,3,0)</f>
        <v>553</v>
      </c>
      <c r="D59" s="1">
        <f>VLOOKUP(Table135[[#This Row],[Code]],Iowa!A:F,6,0)</f>
        <v>11</v>
      </c>
      <c r="E59" s="11"/>
      <c r="F59" s="1">
        <f>Table135[[#This Row],[Box]]-Table135[[#This Row],[Order]]</f>
        <v>11</v>
      </c>
    </row>
    <row r="60" spans="1:6" x14ac:dyDescent="0.25">
      <c r="A60" s="1" t="s">
        <v>111</v>
      </c>
      <c r="B60" s="1" t="s">
        <v>161</v>
      </c>
      <c r="C60" s="1">
        <f>VLOOKUP(Table135[[#This Row],[Code]],'Main Storage'!A:D,3,0)</f>
        <v>130</v>
      </c>
      <c r="D60" s="1">
        <f>VLOOKUP(Table135[[#This Row],[Code]],Iowa!A:F,6,0)</f>
        <v>2</v>
      </c>
      <c r="E60" s="11"/>
      <c r="F60" s="1">
        <f>Table135[[#This Row],[Box]]-Table135[[#This Row],[Order]]</f>
        <v>2</v>
      </c>
    </row>
    <row r="61" spans="1:6" x14ac:dyDescent="0.25">
      <c r="A61" s="1" t="s">
        <v>112</v>
      </c>
      <c r="B61" s="1" t="s">
        <v>162</v>
      </c>
      <c r="C61" s="1">
        <f>VLOOKUP(Table135[[#This Row],[Code]],'Main Storage'!A:D,3,0)</f>
        <v>890</v>
      </c>
      <c r="D61" s="1">
        <f>VLOOKUP(Table135[[#This Row],[Code]],Iowa!A:F,6,0)</f>
        <v>18</v>
      </c>
      <c r="E61" s="11"/>
      <c r="F61" s="1">
        <f>Table135[[#This Row],[Box]]-Table135[[#This Row],[Order]]</f>
        <v>18</v>
      </c>
    </row>
    <row r="62" spans="1:6" x14ac:dyDescent="0.25">
      <c r="A62" s="1" t="s">
        <v>113</v>
      </c>
      <c r="B62" s="1" t="s">
        <v>163</v>
      </c>
      <c r="C62" s="1">
        <f>VLOOKUP(Table135[[#This Row],[Code]],'Main Storage'!A:D,3,0)</f>
        <v>255</v>
      </c>
      <c r="D62" s="1">
        <f>VLOOKUP(Table135[[#This Row],[Code]],Iowa!A:F,6,0)</f>
        <v>5</v>
      </c>
      <c r="E62" s="11"/>
      <c r="F62" s="1">
        <f>Table135[[#This Row],[Box]]-Table135[[#This Row],[Order]]</f>
        <v>5</v>
      </c>
    </row>
    <row r="63" spans="1:6" x14ac:dyDescent="0.25">
      <c r="A63" s="1" t="s">
        <v>114</v>
      </c>
      <c r="B63" s="1" t="s">
        <v>164</v>
      </c>
      <c r="C63" s="1">
        <f>VLOOKUP(Table135[[#This Row],[Code]],'Main Storage'!A:D,3,0)</f>
        <v>1368</v>
      </c>
      <c r="D63" s="1">
        <f>VLOOKUP(Table135[[#This Row],[Code]],Iowa!A:F,6,0)</f>
        <v>28</v>
      </c>
      <c r="E63" s="11"/>
      <c r="F63" s="1">
        <f>Table135[[#This Row],[Box]]-Table135[[#This Row],[Order]]</f>
        <v>28</v>
      </c>
    </row>
    <row r="64" spans="1:6" x14ac:dyDescent="0.25">
      <c r="A64" s="1" t="s">
        <v>115</v>
      </c>
      <c r="B64" s="1" t="s">
        <v>165</v>
      </c>
      <c r="C64" s="1">
        <f>VLOOKUP(Table135[[#This Row],[Code]],'Main Storage'!A:D,3,0)</f>
        <v>324</v>
      </c>
      <c r="D64" s="1">
        <f>VLOOKUP(Table135[[#This Row],[Code]],Iowa!A:F,6,0)</f>
        <v>6</v>
      </c>
      <c r="E64" s="11"/>
      <c r="F64" s="1">
        <f>Table135[[#This Row],[Box]]-Table135[[#This Row],[Order]]</f>
        <v>6</v>
      </c>
    </row>
    <row r="65" spans="1:6" x14ac:dyDescent="0.25">
      <c r="A65" s="1" t="s">
        <v>116</v>
      </c>
      <c r="B65" s="1" t="s">
        <v>166</v>
      </c>
      <c r="C65" s="1">
        <f>VLOOKUP(Table135[[#This Row],[Code]],'Main Storage'!A:D,3,0)</f>
        <v>997</v>
      </c>
      <c r="D65" s="1">
        <f>VLOOKUP(Table135[[#This Row],[Code]],Iowa!A:F,6,0)</f>
        <v>20</v>
      </c>
      <c r="E65" s="11"/>
      <c r="F65" s="1">
        <f>Table135[[#This Row],[Box]]-Table135[[#This Row],[Order]]</f>
        <v>20</v>
      </c>
    </row>
    <row r="66" spans="1:6" x14ac:dyDescent="0.25">
      <c r="A66" s="1" t="s">
        <v>117</v>
      </c>
      <c r="B66" s="1" t="s">
        <v>167</v>
      </c>
      <c r="C66" s="1">
        <f>VLOOKUP(Table135[[#This Row],[Code]],'Main Storage'!A:D,3,0)</f>
        <v>87</v>
      </c>
      <c r="D66" s="1">
        <f>VLOOKUP(Table135[[#This Row],[Code]],Iowa!A:F,6,0)</f>
        <v>1</v>
      </c>
      <c r="E66" s="11"/>
      <c r="F66" s="1">
        <f>Table135[[#This Row],[Box]]-Table135[[#This Row],[Order]]</f>
        <v>1</v>
      </c>
    </row>
    <row r="67" spans="1:6" x14ac:dyDescent="0.25">
      <c r="A67" s="1" t="s">
        <v>118</v>
      </c>
      <c r="B67" s="1" t="s">
        <v>168</v>
      </c>
      <c r="C67" s="1">
        <f>VLOOKUP(Table135[[#This Row],[Code]],'Main Storage'!A:D,3,0)</f>
        <v>1436</v>
      </c>
      <c r="D67" s="1">
        <f>VLOOKUP(Table135[[#This Row],[Code]],Iowa!A:F,6,0)</f>
        <v>29</v>
      </c>
      <c r="E67" s="11"/>
      <c r="F67" s="1">
        <f>Table135[[#This Row],[Box]]-Table135[[#This Row],[Order]]</f>
        <v>29</v>
      </c>
    </row>
    <row r="68" spans="1:6" x14ac:dyDescent="0.25">
      <c r="A68" s="1" t="s">
        <v>119</v>
      </c>
      <c r="B68" s="1" t="s">
        <v>169</v>
      </c>
      <c r="C68" s="1">
        <f>VLOOKUP(Table135[[#This Row],[Code]],'Main Storage'!A:D,3,0)</f>
        <v>1007</v>
      </c>
      <c r="D68" s="1">
        <f>VLOOKUP(Table135[[#This Row],[Code]],Iowa!A:F,6,0)</f>
        <v>20</v>
      </c>
      <c r="E68" s="11"/>
      <c r="F68" s="1">
        <f>Table135[[#This Row],[Box]]-Table135[[#This Row],[Order]]</f>
        <v>20</v>
      </c>
    </row>
    <row r="69" spans="1:6" x14ac:dyDescent="0.25">
      <c r="A69" s="1" t="s">
        <v>120</v>
      </c>
      <c r="B69" s="1" t="s">
        <v>170</v>
      </c>
      <c r="C69" s="1">
        <f>VLOOKUP(Table135[[#This Row],[Code]],'Main Storage'!A:D,3,0)</f>
        <v>904</v>
      </c>
      <c r="D69" s="1">
        <f>VLOOKUP(Table135[[#This Row],[Code]],Iowa!A:F,6,0)</f>
        <v>18</v>
      </c>
      <c r="E69" s="11"/>
      <c r="F69" s="1">
        <f>Table135[[#This Row],[Box]]-Table135[[#This Row],[Order]]</f>
        <v>18</v>
      </c>
    </row>
    <row r="70" spans="1:6" x14ac:dyDescent="0.25">
      <c r="A70" s="1" t="s">
        <v>121</v>
      </c>
      <c r="B70" s="1" t="s">
        <v>171</v>
      </c>
      <c r="C70" s="1">
        <f>VLOOKUP(Table135[[#This Row],[Code]],'Main Storage'!A:D,3,0)</f>
        <v>432</v>
      </c>
      <c r="D70" s="1">
        <f>VLOOKUP(Table135[[#This Row],[Code]],Iowa!A:F,6,0)</f>
        <v>9</v>
      </c>
      <c r="E70" s="11"/>
      <c r="F70" s="1">
        <f>Table135[[#This Row],[Box]]-Table135[[#This Row],[Order]]</f>
        <v>9</v>
      </c>
    </row>
    <row r="71" spans="1:6" x14ac:dyDescent="0.25">
      <c r="A71" s="1" t="s">
        <v>122</v>
      </c>
      <c r="B71" s="1" t="s">
        <v>172</v>
      </c>
      <c r="C71" s="1">
        <f>VLOOKUP(Table135[[#This Row],[Code]],'Main Storage'!A:D,3,0)</f>
        <v>515</v>
      </c>
      <c r="D71" s="1">
        <f>VLOOKUP(Table135[[#This Row],[Code]],Iowa!A:F,6,0)</f>
        <v>10</v>
      </c>
      <c r="E71" s="11"/>
      <c r="F71" s="1">
        <f>Table135[[#This Row],[Box]]-Table135[[#This Row],[Order]]</f>
        <v>10</v>
      </c>
    </row>
    <row r="72" spans="1:6" x14ac:dyDescent="0.25">
      <c r="A72" s="1" t="s">
        <v>123</v>
      </c>
      <c r="B72" s="1" t="s">
        <v>173</v>
      </c>
      <c r="C72" s="1">
        <f>VLOOKUP(Table135[[#This Row],[Code]],'Main Storage'!A:D,3,0)</f>
        <v>928</v>
      </c>
      <c r="D72" s="1">
        <f>VLOOKUP(Table135[[#This Row],[Code]],Iowa!A:F,6,0)</f>
        <v>19</v>
      </c>
      <c r="E72" s="11"/>
      <c r="F72" s="1">
        <f>Table135[[#This Row],[Box]]-Table135[[#This Row],[Order]]</f>
        <v>19</v>
      </c>
    </row>
    <row r="73" spans="1:6" x14ac:dyDescent="0.25">
      <c r="A73" s="1" t="s">
        <v>124</v>
      </c>
      <c r="B73" s="1" t="s">
        <v>174</v>
      </c>
      <c r="C73" s="1">
        <f>VLOOKUP(Table135[[#This Row],[Code]],'Main Storage'!A:D,3,0)</f>
        <v>565</v>
      </c>
      <c r="D73" s="1">
        <f>VLOOKUP(Table135[[#This Row],[Code]],Iowa!A:F,6,0)</f>
        <v>11</v>
      </c>
      <c r="E73" s="11"/>
      <c r="F73" s="1">
        <f>Table135[[#This Row],[Box]]-Table135[[#This Row],[Order]]</f>
        <v>11</v>
      </c>
    </row>
    <row r="74" spans="1:6" x14ac:dyDescent="0.25">
      <c r="A74" s="1" t="s">
        <v>125</v>
      </c>
      <c r="B74" s="1" t="s">
        <v>175</v>
      </c>
      <c r="C74" s="1">
        <f>VLOOKUP(Table135[[#This Row],[Code]],'Main Storage'!A:D,3,0)</f>
        <v>286</v>
      </c>
      <c r="D74" s="1">
        <f>VLOOKUP(Table135[[#This Row],[Code]],Iowa!A:F,6,0)</f>
        <v>5</v>
      </c>
      <c r="E74" s="11"/>
      <c r="F74" s="1">
        <f>Table135[[#This Row],[Box]]-Table135[[#This Row],[Order]]</f>
        <v>5</v>
      </c>
    </row>
    <row r="75" spans="1:6" x14ac:dyDescent="0.25">
      <c r="A75" s="1" t="s">
        <v>126</v>
      </c>
      <c r="B75" s="1" t="s">
        <v>176</v>
      </c>
      <c r="C75" s="1">
        <f>VLOOKUP(Table135[[#This Row],[Code]],'Main Storage'!A:D,3,0)</f>
        <v>931</v>
      </c>
      <c r="D75" s="1">
        <f>VLOOKUP(Table135[[#This Row],[Code]],Iowa!A:F,6,0)</f>
        <v>19</v>
      </c>
      <c r="E75" s="11"/>
      <c r="F75" s="1">
        <f>Table135[[#This Row],[Box]]-Table135[[#This Row],[Order]]</f>
        <v>19</v>
      </c>
    </row>
    <row r="76" spans="1:6" x14ac:dyDescent="0.25">
      <c r="A76" s="1" t="s">
        <v>127</v>
      </c>
      <c r="B76" s="1" t="s">
        <v>177</v>
      </c>
      <c r="C76" s="1">
        <f>VLOOKUP(Table135[[#This Row],[Code]],'Main Storage'!A:D,3,0)</f>
        <v>1045</v>
      </c>
      <c r="D76" s="1">
        <f>VLOOKUP(Table135[[#This Row],[Code]],Iowa!A:F,6,0)</f>
        <v>21</v>
      </c>
      <c r="E76" s="11"/>
      <c r="F76" s="1">
        <f>Table135[[#This Row],[Box]]-Table135[[#This Row],[Order]]</f>
        <v>21</v>
      </c>
    </row>
    <row r="77" spans="1:6" x14ac:dyDescent="0.25">
      <c r="A77" s="1" t="s">
        <v>128</v>
      </c>
      <c r="B77" s="1" t="s">
        <v>178</v>
      </c>
      <c r="C77" s="1">
        <f>VLOOKUP(Table135[[#This Row],[Code]],'Main Storage'!A:D,3,0)</f>
        <v>1180</v>
      </c>
      <c r="D77" s="1">
        <f>VLOOKUP(Table135[[#This Row],[Code]],Iowa!A:F,6,0)</f>
        <v>24</v>
      </c>
      <c r="E77" s="11"/>
      <c r="F77" s="1">
        <f>Table135[[#This Row],[Box]]-Table135[[#This Row],[Order]]</f>
        <v>24</v>
      </c>
    </row>
    <row r="78" spans="1:6" x14ac:dyDescent="0.25">
      <c r="A78" s="1" t="s">
        <v>129</v>
      </c>
      <c r="B78" s="1" t="s">
        <v>179</v>
      </c>
      <c r="C78" s="1">
        <f>VLOOKUP(Table135[[#This Row],[Code]],'Main Storage'!A:D,3,0)</f>
        <v>804</v>
      </c>
      <c r="D78" s="1">
        <f>VLOOKUP(Table135[[#This Row],[Code]],Iowa!A:F,6,0)</f>
        <v>16</v>
      </c>
      <c r="E78" s="11"/>
      <c r="F78" s="1">
        <f>Table135[[#This Row],[Box]]-Table135[[#This Row],[Order]]</f>
        <v>16</v>
      </c>
    </row>
    <row r="79" spans="1:6" x14ac:dyDescent="0.25">
      <c r="A79" s="1" t="s">
        <v>130</v>
      </c>
      <c r="B79" s="1" t="s">
        <v>180</v>
      </c>
      <c r="C79" s="1">
        <f>VLOOKUP(Table135[[#This Row],[Code]],'Main Storage'!A:D,3,0)</f>
        <v>428</v>
      </c>
      <c r="D79" s="1">
        <f>VLOOKUP(Table135[[#This Row],[Code]],Iowa!A:F,6,0)</f>
        <v>8</v>
      </c>
      <c r="E79" s="11"/>
      <c r="F79" s="1">
        <f>Table135[[#This Row],[Box]]-Table135[[#This Row],[Order]]</f>
        <v>8</v>
      </c>
    </row>
    <row r="80" spans="1:6" x14ac:dyDescent="0.25">
      <c r="A80" s="1" t="s">
        <v>131</v>
      </c>
      <c r="B80" s="1" t="s">
        <v>181</v>
      </c>
      <c r="C80" s="1">
        <f>VLOOKUP(Table135[[#This Row],[Code]],'Main Storage'!A:D,3,0)</f>
        <v>657</v>
      </c>
      <c r="D80" s="1">
        <f>VLOOKUP(Table135[[#This Row],[Code]],Iowa!A:F,6,0)</f>
        <v>13</v>
      </c>
      <c r="E80" s="11"/>
      <c r="F80" s="1">
        <f>Table135[[#This Row],[Box]]-Table135[[#This Row],[Order]]</f>
        <v>13</v>
      </c>
    </row>
    <row r="81" spans="1:6" x14ac:dyDescent="0.25">
      <c r="A81" s="1" t="s">
        <v>132</v>
      </c>
      <c r="B81" s="1" t="s">
        <v>182</v>
      </c>
      <c r="C81" s="1">
        <f>VLOOKUP(Table135[[#This Row],[Code]],'Main Storage'!A:D,3,0)</f>
        <v>1289</v>
      </c>
      <c r="D81" s="1">
        <f>VLOOKUP(Table135[[#This Row],[Code]],Iowa!A:F,6,0)</f>
        <v>26</v>
      </c>
      <c r="E81" s="11"/>
      <c r="F81" s="1">
        <f>Table135[[#This Row],[Box]]-Table135[[#This Row],[Order]]</f>
        <v>26</v>
      </c>
    </row>
    <row r="82" spans="1:6" x14ac:dyDescent="0.25">
      <c r="A82" s="1" t="s">
        <v>133</v>
      </c>
      <c r="B82" s="1" t="s">
        <v>183</v>
      </c>
      <c r="C82" s="1">
        <f>VLOOKUP(Table135[[#This Row],[Code]],'Main Storage'!A:D,3,0)</f>
        <v>1227</v>
      </c>
      <c r="D82" s="1">
        <f>VLOOKUP(Table135[[#This Row],[Code]],Iowa!A:F,6,0)</f>
        <v>25</v>
      </c>
      <c r="E82" s="11"/>
      <c r="F82" s="1">
        <f>Table135[[#This Row],[Box]]-Table135[[#This Row],[Order]]</f>
        <v>25</v>
      </c>
    </row>
    <row r="83" spans="1:6" x14ac:dyDescent="0.25">
      <c r="A83" s="1" t="s">
        <v>134</v>
      </c>
      <c r="B83" s="1" t="s">
        <v>184</v>
      </c>
      <c r="C83" s="1">
        <f>VLOOKUP(Table135[[#This Row],[Code]],'Main Storage'!A:D,3,0)</f>
        <v>1376</v>
      </c>
      <c r="D83" s="1">
        <f>VLOOKUP(Table135[[#This Row],[Code]],Iowa!A:F,6,0)</f>
        <v>28</v>
      </c>
      <c r="E83" s="11"/>
      <c r="F83" s="1">
        <f>Table135[[#This Row],[Box]]-Table135[[#This Row],[Order]]</f>
        <v>28</v>
      </c>
    </row>
    <row r="84" spans="1:6" x14ac:dyDescent="0.25">
      <c r="A84" s="1" t="s">
        <v>135</v>
      </c>
      <c r="B84" s="1" t="s">
        <v>185</v>
      </c>
      <c r="C84" s="1">
        <f>VLOOKUP(Table135[[#This Row],[Code]],'Main Storage'!A:D,3,0)</f>
        <v>436</v>
      </c>
      <c r="D84" s="1">
        <f>VLOOKUP(Table135[[#This Row],[Code]],Iowa!A:F,6,0)</f>
        <v>9</v>
      </c>
      <c r="E84" s="11"/>
      <c r="F84" s="1">
        <f>Table135[[#This Row],[Box]]-Table135[[#This Row],[Order]]</f>
        <v>9</v>
      </c>
    </row>
    <row r="85" spans="1:6" x14ac:dyDescent="0.25">
      <c r="A85" s="1" t="s">
        <v>136</v>
      </c>
      <c r="B85" s="1" t="s">
        <v>186</v>
      </c>
      <c r="C85" s="1">
        <f>VLOOKUP(Table135[[#This Row],[Code]],'Main Storage'!A:D,3,0)</f>
        <v>1340</v>
      </c>
      <c r="D85" s="1">
        <f>VLOOKUP(Table135[[#This Row],[Code]],Iowa!A:F,6,0)</f>
        <v>27</v>
      </c>
      <c r="E85" s="11"/>
      <c r="F85" s="1">
        <f>Table135[[#This Row],[Box]]-Table135[[#This Row],[Order]]</f>
        <v>27</v>
      </c>
    </row>
    <row r="86" spans="1:6" x14ac:dyDescent="0.25">
      <c r="A86" s="1" t="s">
        <v>137</v>
      </c>
      <c r="B86" s="1" t="s">
        <v>187</v>
      </c>
      <c r="C86" s="1">
        <f>VLOOKUP(Table135[[#This Row],[Code]],'Main Storage'!A:D,3,0)</f>
        <v>1218</v>
      </c>
      <c r="D86" s="1">
        <f>VLOOKUP(Table135[[#This Row],[Code]],Iowa!A:F,6,0)</f>
        <v>25</v>
      </c>
      <c r="E86" s="11"/>
      <c r="F86" s="1">
        <f>Table135[[#This Row],[Box]]-Table135[[#This Row],[Order]]</f>
        <v>25</v>
      </c>
    </row>
    <row r="87" spans="1:6" x14ac:dyDescent="0.25">
      <c r="A87" s="1" t="s">
        <v>138</v>
      </c>
      <c r="B87" s="1" t="s">
        <v>188</v>
      </c>
      <c r="C87" s="1">
        <f>VLOOKUP(Table135[[#This Row],[Code]],'Main Storage'!A:D,3,0)</f>
        <v>848</v>
      </c>
      <c r="D87" s="1">
        <f>VLOOKUP(Table135[[#This Row],[Code]],Iowa!A:F,6,0)</f>
        <v>17</v>
      </c>
      <c r="E87" s="11"/>
      <c r="F87" s="1">
        <f>Table135[[#This Row],[Box]]-Table135[[#This Row],[Order]]</f>
        <v>17</v>
      </c>
    </row>
    <row r="88" spans="1:6" x14ac:dyDescent="0.25">
      <c r="A88" s="1" t="s">
        <v>139</v>
      </c>
      <c r="B88" s="1" t="s">
        <v>189</v>
      </c>
      <c r="C88" s="1">
        <f>VLOOKUP(Table135[[#This Row],[Code]],'Main Storage'!A:D,3,0)</f>
        <v>1490</v>
      </c>
      <c r="D88" s="1">
        <f>VLOOKUP(Table135[[#This Row],[Code]],Iowa!A:F,6,0)</f>
        <v>31</v>
      </c>
      <c r="E88" s="11"/>
      <c r="F88" s="1">
        <f>Table135[[#This Row],[Box]]-Table135[[#This Row],[Order]]</f>
        <v>31</v>
      </c>
    </row>
    <row r="89" spans="1:6" x14ac:dyDescent="0.25">
      <c r="A89" s="1" t="s">
        <v>140</v>
      </c>
      <c r="B89" s="1" t="s">
        <v>190</v>
      </c>
      <c r="C89" s="1">
        <f>VLOOKUP(Table135[[#This Row],[Code]],'Main Storage'!A:D,3,0)</f>
        <v>1162</v>
      </c>
      <c r="D89" s="1">
        <f>VLOOKUP(Table135[[#This Row],[Code]],Iowa!A:F,6,0)</f>
        <v>24</v>
      </c>
      <c r="E89" s="11"/>
      <c r="F89" s="1">
        <f>Table135[[#This Row],[Box]]-Table135[[#This Row],[Order]]</f>
        <v>24</v>
      </c>
    </row>
    <row r="90" spans="1:6" x14ac:dyDescent="0.25">
      <c r="A90" s="1" t="s">
        <v>141</v>
      </c>
      <c r="B90" s="1" t="s">
        <v>191</v>
      </c>
      <c r="C90" s="1">
        <f>VLOOKUP(Table135[[#This Row],[Code]],'Main Storage'!A:D,3,0)</f>
        <v>431</v>
      </c>
      <c r="D90" s="1">
        <f>VLOOKUP(Table135[[#This Row],[Code]],Iowa!A:F,6,0)</f>
        <v>8</v>
      </c>
      <c r="E90" s="11"/>
      <c r="F90" s="1">
        <f>Table135[[#This Row],[Box]]-Table135[[#This Row],[Order]]</f>
        <v>8</v>
      </c>
    </row>
    <row r="91" spans="1:6" x14ac:dyDescent="0.25">
      <c r="A91" s="1" t="s">
        <v>142</v>
      </c>
      <c r="B91" s="1" t="s">
        <v>192</v>
      </c>
      <c r="C91" s="1">
        <f>VLOOKUP(Table135[[#This Row],[Code]],'Main Storage'!A:D,3,0)</f>
        <v>496</v>
      </c>
      <c r="D91" s="1">
        <f>VLOOKUP(Table135[[#This Row],[Code]],Iowa!A:F,6,0)</f>
        <v>10</v>
      </c>
      <c r="E91" s="11"/>
      <c r="F91" s="1">
        <f>Table135[[#This Row],[Box]]-Table135[[#This Row],[Order]]</f>
        <v>10</v>
      </c>
    </row>
    <row r="92" spans="1:6" x14ac:dyDescent="0.25">
      <c r="A92" s="1" t="s">
        <v>143</v>
      </c>
      <c r="B92" s="1" t="s">
        <v>193</v>
      </c>
      <c r="C92" s="1">
        <f>VLOOKUP(Table135[[#This Row],[Code]],'Main Storage'!A:D,3,0)</f>
        <v>1340</v>
      </c>
      <c r="D92" s="1">
        <f>VLOOKUP(Table135[[#This Row],[Code]],Iowa!A:F,6,0)</f>
        <v>27</v>
      </c>
      <c r="E92" s="11"/>
      <c r="F92" s="1">
        <f>Table135[[#This Row],[Box]]-Table135[[#This Row],[Order]]</f>
        <v>27</v>
      </c>
    </row>
    <row r="93" spans="1:6" x14ac:dyDescent="0.25">
      <c r="A93" s="1" t="s">
        <v>144</v>
      </c>
      <c r="B93" s="1" t="s">
        <v>194</v>
      </c>
      <c r="C93" s="1">
        <f>VLOOKUP(Table135[[#This Row],[Code]],'Main Storage'!A:D,3,0)</f>
        <v>175</v>
      </c>
      <c r="D93" s="1">
        <f>VLOOKUP(Table135[[#This Row],[Code]],Iowa!A:F,6,0)</f>
        <v>3</v>
      </c>
      <c r="E93" s="11"/>
      <c r="F93" s="1">
        <f>Table135[[#This Row],[Box]]-Table135[[#This Row],[Order]]</f>
        <v>3</v>
      </c>
    </row>
    <row r="94" spans="1:6" x14ac:dyDescent="0.25">
      <c r="A94" s="1" t="s">
        <v>145</v>
      </c>
      <c r="B94" s="1" t="s">
        <v>195</v>
      </c>
      <c r="C94" s="1">
        <f>VLOOKUP(Table135[[#This Row],[Code]],'Main Storage'!A:D,3,0)</f>
        <v>1164</v>
      </c>
      <c r="D94" s="1">
        <f>VLOOKUP(Table135[[#This Row],[Code]],Iowa!A:F,6,0)</f>
        <v>24</v>
      </c>
      <c r="E94" s="11"/>
      <c r="F94" s="1">
        <f>Table135[[#This Row],[Box]]-Table135[[#This Row],[Order]]</f>
        <v>24</v>
      </c>
    </row>
    <row r="95" spans="1:6" x14ac:dyDescent="0.25">
      <c r="A95" s="1" t="s">
        <v>146</v>
      </c>
      <c r="B95" s="1" t="s">
        <v>196</v>
      </c>
      <c r="C95" s="1">
        <f>VLOOKUP(Table135[[#This Row],[Code]],'Main Storage'!A:D,3,0)</f>
        <v>610</v>
      </c>
      <c r="D95" s="1">
        <f>VLOOKUP(Table135[[#This Row],[Code]],Iowa!A:F,6,0)</f>
        <v>12</v>
      </c>
      <c r="E95" s="11"/>
      <c r="F95" s="1">
        <f>Table135[[#This Row],[Box]]-Table135[[#This Row],[Order]]</f>
        <v>12</v>
      </c>
    </row>
    <row r="96" spans="1:6" x14ac:dyDescent="0.25">
      <c r="A96" s="1" t="s">
        <v>147</v>
      </c>
      <c r="B96" s="1" t="s">
        <v>197</v>
      </c>
      <c r="C96" s="1">
        <f>VLOOKUP(Table135[[#This Row],[Code]],'Main Storage'!A:D,3,0)</f>
        <v>26</v>
      </c>
      <c r="D96" s="1">
        <f>VLOOKUP(Table135[[#This Row],[Code]],Iowa!A:F,6,0)</f>
        <v>0</v>
      </c>
      <c r="E96" s="11"/>
      <c r="F96" s="1">
        <f>Table135[[#This Row],[Box]]-Table135[[#This Row],[Order]]</f>
        <v>0</v>
      </c>
    </row>
    <row r="97" spans="1:6" x14ac:dyDescent="0.25">
      <c r="A97" s="1" t="s">
        <v>148</v>
      </c>
      <c r="B97" s="1" t="s">
        <v>198</v>
      </c>
      <c r="C97" s="1">
        <f>VLOOKUP(Table135[[#This Row],[Code]],'Main Storage'!A:D,3,0)</f>
        <v>122</v>
      </c>
      <c r="D97" s="1">
        <f>VLOOKUP(Table135[[#This Row],[Code]],Iowa!A:F,6,0)</f>
        <v>2</v>
      </c>
      <c r="E97" s="11"/>
      <c r="F97" s="1">
        <f>Table135[[#This Row],[Box]]-Table135[[#This Row],[Order]]</f>
        <v>2</v>
      </c>
    </row>
    <row r="98" spans="1:6" x14ac:dyDescent="0.25">
      <c r="A98" s="1" t="s">
        <v>149</v>
      </c>
      <c r="B98" s="1" t="s">
        <v>199</v>
      </c>
      <c r="C98" s="1">
        <f>VLOOKUP(Table135[[#This Row],[Code]],'Main Storage'!A:D,3,0)</f>
        <v>154</v>
      </c>
      <c r="D98" s="1">
        <f>VLOOKUP(Table135[[#This Row],[Code]],Iowa!A:F,6,0)</f>
        <v>3</v>
      </c>
      <c r="E98" s="11"/>
      <c r="F98" s="1">
        <f>Table135[[#This Row],[Box]]-Table135[[#This Row],[Order]]</f>
        <v>3</v>
      </c>
    </row>
    <row r="99" spans="1:6" x14ac:dyDescent="0.25">
      <c r="A99" s="1" t="s">
        <v>150</v>
      </c>
      <c r="B99" s="1" t="s">
        <v>200</v>
      </c>
      <c r="C99" s="1">
        <f>VLOOKUP(Table135[[#This Row],[Code]],'Main Storage'!A:D,3,0)</f>
        <v>1050</v>
      </c>
      <c r="D99" s="1">
        <f>VLOOKUP(Table135[[#This Row],[Code]],Iowa!A:F,6,0)</f>
        <v>21</v>
      </c>
      <c r="E99" s="11"/>
      <c r="F99" s="1">
        <f>Table135[[#This Row],[Box]]-Table135[[#This Row],[Order]]</f>
        <v>21</v>
      </c>
    </row>
    <row r="100" spans="1:6" x14ac:dyDescent="0.25">
      <c r="A100" s="1" t="s">
        <v>151</v>
      </c>
      <c r="B100" s="1" t="s">
        <v>201</v>
      </c>
      <c r="C100" s="1">
        <f>VLOOKUP(Table135[[#This Row],[Code]],'Main Storage'!A:D,3,0)</f>
        <v>1337</v>
      </c>
      <c r="D100" s="1">
        <f>VLOOKUP(Table135[[#This Row],[Code]],Iowa!A:F,6,0)</f>
        <v>27</v>
      </c>
      <c r="E100" s="11"/>
      <c r="F100" s="1">
        <f>Table135[[#This Row],[Box]]-Table135[[#This Row],[Order]]</f>
        <v>27</v>
      </c>
    </row>
    <row r="101" spans="1:6" x14ac:dyDescent="0.25">
      <c r="A101" s="1" t="s">
        <v>204</v>
      </c>
      <c r="B101" s="1" t="s">
        <v>205</v>
      </c>
      <c r="C101" s="1">
        <f>VLOOKUP(Table135[[#This Row],[Code]],'Main Storage'!A:D,3,0)</f>
        <v>330</v>
      </c>
      <c r="D101" s="1">
        <f>VLOOKUP(Table135[[#This Row],[Code]],Iowa!A:F,6,0)</f>
        <v>2</v>
      </c>
      <c r="E101" s="11"/>
      <c r="F101" s="1">
        <f>Table135[[#This Row],[Box]]-Table135[[#This Row],[Order]]</f>
        <v>2</v>
      </c>
    </row>
    <row r="102" spans="1:6" x14ac:dyDescent="0.25">
      <c r="A102" s="1" t="s">
        <v>206</v>
      </c>
      <c r="B102" s="1" t="s">
        <v>207</v>
      </c>
      <c r="C102" s="1">
        <f>VLOOKUP(Table135[[#This Row],[Code]],'Main Storage'!A:D,3,0)</f>
        <v>737</v>
      </c>
      <c r="D102" s="1">
        <f>VLOOKUP(Table135[[#This Row],[Code]],Iowa!A:F,6,0)</f>
        <v>6</v>
      </c>
      <c r="E102" s="11"/>
      <c r="F102" s="1">
        <f>Table135[[#This Row],[Box]]-Table135[[#This Row],[Order]]</f>
        <v>6</v>
      </c>
    </row>
    <row r="103" spans="1:6" x14ac:dyDescent="0.25">
      <c r="A103" s="1" t="s">
        <v>208</v>
      </c>
      <c r="B103" s="1" t="s">
        <v>209</v>
      </c>
      <c r="C103" s="1">
        <f>VLOOKUP(Table135[[#This Row],[Code]],'Main Storage'!A:D,3,0)</f>
        <v>811</v>
      </c>
      <c r="D103" s="1">
        <f>VLOOKUP(Table135[[#This Row],[Code]],Iowa!A:F,6,0)</f>
        <v>6</v>
      </c>
      <c r="E103" s="11"/>
      <c r="F103" s="1">
        <f>Table135[[#This Row],[Box]]-Table135[[#This Row],[Order]]</f>
        <v>6</v>
      </c>
    </row>
    <row r="104" spans="1:6" x14ac:dyDescent="0.25">
      <c r="A104" s="1" t="s">
        <v>210</v>
      </c>
      <c r="B104" s="1" t="s">
        <v>211</v>
      </c>
      <c r="C104" s="1">
        <f>VLOOKUP(Table135[[#This Row],[Code]],'Main Storage'!A:D,3,0)</f>
        <v>533</v>
      </c>
      <c r="D104" s="1">
        <f>VLOOKUP(Table135[[#This Row],[Code]],Iowa!A:F,6,0)</f>
        <v>4</v>
      </c>
      <c r="E104" s="11"/>
      <c r="F104" s="1">
        <f>Table135[[#This Row],[Box]]-Table135[[#This Row],[Order]]</f>
        <v>4</v>
      </c>
    </row>
    <row r="105" spans="1:6" x14ac:dyDescent="0.25">
      <c r="A105" s="1" t="s">
        <v>212</v>
      </c>
      <c r="B105" s="1" t="s">
        <v>213</v>
      </c>
      <c r="C105" s="1">
        <f>VLOOKUP(Table135[[#This Row],[Code]],'Main Storage'!A:D,3,0)</f>
        <v>1484</v>
      </c>
      <c r="D105" s="1">
        <f>VLOOKUP(Table135[[#This Row],[Code]],Iowa!A:F,6,0)</f>
        <v>12</v>
      </c>
      <c r="E105" s="11"/>
      <c r="F105" s="1">
        <f>Table135[[#This Row],[Box]]-Table135[[#This Row],[Order]]</f>
        <v>12</v>
      </c>
    </row>
    <row r="106" spans="1:6" x14ac:dyDescent="0.25">
      <c r="A106" s="1" t="s">
        <v>214</v>
      </c>
      <c r="B106" s="1" t="s">
        <v>215</v>
      </c>
      <c r="C106" s="1">
        <f>VLOOKUP(Table135[[#This Row],[Code]],'Main Storage'!A:D,3,0)</f>
        <v>521</v>
      </c>
      <c r="D106" s="1">
        <f>VLOOKUP(Table135[[#This Row],[Code]],Iowa!A:F,6,0)</f>
        <v>4</v>
      </c>
      <c r="E106" s="11"/>
      <c r="F106" s="1">
        <f>Table135[[#This Row],[Box]]-Table135[[#This Row],[Order]]</f>
        <v>4</v>
      </c>
    </row>
    <row r="107" spans="1:6" x14ac:dyDescent="0.25">
      <c r="A107" s="1" t="s">
        <v>216</v>
      </c>
      <c r="B107" s="1" t="s">
        <v>217</v>
      </c>
      <c r="C107" s="1">
        <f>VLOOKUP(Table135[[#This Row],[Code]],'Main Storage'!A:D,3,0)</f>
        <v>240</v>
      </c>
      <c r="D107" s="1">
        <f>VLOOKUP(Table135[[#This Row],[Code]],Iowa!A:F,6,0)</f>
        <v>2</v>
      </c>
      <c r="E107" s="11"/>
      <c r="F107" s="1">
        <f>Table135[[#This Row],[Box]]-Table135[[#This Row],[Order]]</f>
        <v>2</v>
      </c>
    </row>
    <row r="108" spans="1:6" x14ac:dyDescent="0.25">
      <c r="A108" s="1" t="s">
        <v>218</v>
      </c>
      <c r="B108" s="1" t="s">
        <v>219</v>
      </c>
      <c r="C108" s="1">
        <f>VLOOKUP(Table135[[#This Row],[Code]],'Main Storage'!A:D,3,0)</f>
        <v>946</v>
      </c>
      <c r="D108" s="1">
        <f>VLOOKUP(Table135[[#This Row],[Code]],Iowa!A:F,6,0)</f>
        <v>7</v>
      </c>
      <c r="E108" s="11"/>
      <c r="F108" s="1">
        <f>Table135[[#This Row],[Box]]-Table135[[#This Row],[Order]]</f>
        <v>7</v>
      </c>
    </row>
    <row r="109" spans="1:6" x14ac:dyDescent="0.25">
      <c r="A109" s="1" t="s">
        <v>220</v>
      </c>
      <c r="B109" s="1" t="s">
        <v>221</v>
      </c>
      <c r="C109" s="1">
        <f>VLOOKUP(Table135[[#This Row],[Code]],'Main Storage'!A:D,3,0)</f>
        <v>1447</v>
      </c>
      <c r="D109" s="1">
        <f>VLOOKUP(Table135[[#This Row],[Code]],Iowa!A:F,6,0)</f>
        <v>12</v>
      </c>
      <c r="E109" s="11"/>
      <c r="F109" s="1">
        <f>Table135[[#This Row],[Box]]-Table135[[#This Row],[Order]]</f>
        <v>12</v>
      </c>
    </row>
    <row r="110" spans="1:6" x14ac:dyDescent="0.25">
      <c r="A110" s="1" t="s">
        <v>222</v>
      </c>
      <c r="B110" s="1" t="s">
        <v>223</v>
      </c>
      <c r="C110" s="1">
        <f>VLOOKUP(Table135[[#This Row],[Code]],'Main Storage'!A:D,3,0)</f>
        <v>489</v>
      </c>
      <c r="D110" s="1">
        <f>VLOOKUP(Table135[[#This Row],[Code]],Iowa!A:F,6,0)</f>
        <v>4</v>
      </c>
      <c r="E110" s="11"/>
      <c r="F110" s="1">
        <f>Table135[[#This Row],[Box]]-Table135[[#This Row],[Order]]</f>
        <v>4</v>
      </c>
    </row>
    <row r="111" spans="1:6" x14ac:dyDescent="0.25">
      <c r="A111" s="1" t="s">
        <v>224</v>
      </c>
      <c r="B111" s="1" t="s">
        <v>225</v>
      </c>
      <c r="C111" s="1">
        <f>VLOOKUP(Table135[[#This Row],[Code]],'Main Storage'!A:D,3,0)</f>
        <v>641</v>
      </c>
      <c r="D111" s="1">
        <f>VLOOKUP(Table135[[#This Row],[Code]],Iowa!A:F,6,0)</f>
        <v>5</v>
      </c>
      <c r="E111" s="11"/>
      <c r="F111" s="1">
        <f>Table135[[#This Row],[Box]]-Table135[[#This Row],[Order]]</f>
        <v>5</v>
      </c>
    </row>
    <row r="112" spans="1:6" x14ac:dyDescent="0.25">
      <c r="A112" s="1" t="s">
        <v>226</v>
      </c>
      <c r="B112" s="1" t="s">
        <v>227</v>
      </c>
      <c r="C112" s="1">
        <f>VLOOKUP(Table135[[#This Row],[Code]],'Main Storage'!A:D,3,0)</f>
        <v>790</v>
      </c>
      <c r="D112" s="1">
        <f>VLOOKUP(Table135[[#This Row],[Code]],Iowa!A:F,6,0)</f>
        <v>6</v>
      </c>
      <c r="E112" s="11"/>
      <c r="F112" s="1">
        <f>Table135[[#This Row],[Box]]-Table135[[#This Row],[Order]]</f>
        <v>6</v>
      </c>
    </row>
    <row r="113" spans="1:6" x14ac:dyDescent="0.25">
      <c r="A113" s="1" t="s">
        <v>228</v>
      </c>
      <c r="B113" s="1" t="s">
        <v>229</v>
      </c>
      <c r="C113" s="1">
        <f>VLOOKUP(Table135[[#This Row],[Code]],'Main Storage'!A:D,3,0)</f>
        <v>1153</v>
      </c>
      <c r="D113" s="1">
        <f>VLOOKUP(Table135[[#This Row],[Code]],Iowa!A:F,6,0)</f>
        <v>9</v>
      </c>
      <c r="E113" s="11"/>
      <c r="F113" s="1">
        <f>Table135[[#This Row],[Box]]-Table135[[#This Row],[Order]]</f>
        <v>9</v>
      </c>
    </row>
    <row r="114" spans="1:6" x14ac:dyDescent="0.25">
      <c r="A114" s="1" t="s">
        <v>230</v>
      </c>
      <c r="B114" s="1" t="s">
        <v>231</v>
      </c>
      <c r="C114" s="1">
        <f>VLOOKUP(Table135[[#This Row],[Code]],'Main Storage'!A:D,3,0)</f>
        <v>983</v>
      </c>
      <c r="D114" s="1">
        <f>VLOOKUP(Table135[[#This Row],[Code]],Iowa!A:F,6,0)</f>
        <v>8</v>
      </c>
      <c r="E114" s="11"/>
      <c r="F114" s="1">
        <f>Table135[[#This Row],[Box]]-Table135[[#This Row],[Order]]</f>
        <v>8</v>
      </c>
    </row>
    <row r="115" spans="1:6" x14ac:dyDescent="0.25">
      <c r="A115" s="1" t="s">
        <v>232</v>
      </c>
      <c r="B115" s="1" t="s">
        <v>233</v>
      </c>
      <c r="C115" s="1">
        <f>VLOOKUP(Table135[[#This Row],[Code]],'Main Storage'!A:D,3,0)</f>
        <v>853</v>
      </c>
      <c r="D115" s="1">
        <f>VLOOKUP(Table135[[#This Row],[Code]],Iowa!A:F,6,0)</f>
        <v>7</v>
      </c>
      <c r="E115" s="11"/>
      <c r="F115" s="1">
        <f>Table135[[#This Row],[Box]]-Table135[[#This Row],[Order]]</f>
        <v>7</v>
      </c>
    </row>
    <row r="116" spans="1:6" x14ac:dyDescent="0.25">
      <c r="A116" s="1" t="s">
        <v>234</v>
      </c>
      <c r="B116" s="1" t="s">
        <v>235</v>
      </c>
      <c r="C116" s="1">
        <f>VLOOKUP(Table135[[#This Row],[Code]],'Main Storage'!A:D,3,0)</f>
        <v>356</v>
      </c>
      <c r="D116" s="1">
        <f>VLOOKUP(Table135[[#This Row],[Code]],Iowa!A:F,6,0)</f>
        <v>2</v>
      </c>
      <c r="E116" s="11"/>
      <c r="F116" s="1">
        <f>Table135[[#This Row],[Box]]-Table135[[#This Row],[Order]]</f>
        <v>2</v>
      </c>
    </row>
    <row r="117" spans="1:6" x14ac:dyDescent="0.25">
      <c r="A117" s="1" t="s">
        <v>236</v>
      </c>
      <c r="B117" s="1" t="s">
        <v>237</v>
      </c>
      <c r="C117" s="1">
        <f>VLOOKUP(Table135[[#This Row],[Code]],'Main Storage'!A:D,3,0)</f>
        <v>556</v>
      </c>
      <c r="D117" s="1">
        <f>VLOOKUP(Table135[[#This Row],[Code]],Iowa!A:F,6,0)</f>
        <v>4</v>
      </c>
      <c r="E117" s="11"/>
      <c r="F117" s="1">
        <f>Table135[[#This Row],[Box]]-Table135[[#This Row],[Order]]</f>
        <v>4</v>
      </c>
    </row>
    <row r="118" spans="1:6" x14ac:dyDescent="0.25">
      <c r="A118" s="1" t="s">
        <v>238</v>
      </c>
      <c r="B118" s="1" t="s">
        <v>239</v>
      </c>
      <c r="C118" s="1">
        <f>VLOOKUP(Table135[[#This Row],[Code]],'Main Storage'!A:D,3,0)</f>
        <v>768</v>
      </c>
      <c r="D118" s="1">
        <f>VLOOKUP(Table135[[#This Row],[Code]],Iowa!A:F,6,0)</f>
        <v>6</v>
      </c>
      <c r="E118" s="11"/>
      <c r="F118" s="1">
        <f>Table135[[#This Row],[Box]]-Table135[[#This Row],[Order]]</f>
        <v>6</v>
      </c>
    </row>
    <row r="119" spans="1:6" x14ac:dyDescent="0.25">
      <c r="A119" s="1" t="s">
        <v>240</v>
      </c>
      <c r="B119" s="1" t="s">
        <v>241</v>
      </c>
      <c r="C119" s="1">
        <f>VLOOKUP(Table135[[#This Row],[Code]],'Main Storage'!A:D,3,0)</f>
        <v>582</v>
      </c>
      <c r="D119" s="1">
        <f>VLOOKUP(Table135[[#This Row],[Code]],Iowa!A:F,6,0)</f>
        <v>4</v>
      </c>
      <c r="E119" s="11"/>
      <c r="F119" s="1">
        <f>Table135[[#This Row],[Box]]-Table135[[#This Row],[Order]]</f>
        <v>4</v>
      </c>
    </row>
    <row r="120" spans="1:6" x14ac:dyDescent="0.25">
      <c r="A120" s="1" t="s">
        <v>242</v>
      </c>
      <c r="B120" s="1" t="s">
        <v>243</v>
      </c>
      <c r="C120" s="1">
        <f>VLOOKUP(Table135[[#This Row],[Code]],'Main Storage'!A:D,3,0)</f>
        <v>467</v>
      </c>
      <c r="D120" s="1">
        <f>VLOOKUP(Table135[[#This Row],[Code]],Iowa!A:F,6,0)</f>
        <v>3</v>
      </c>
      <c r="E120" s="11"/>
      <c r="F120" s="1">
        <f>Table135[[#This Row],[Box]]-Table135[[#This Row],[Order]]</f>
        <v>3</v>
      </c>
    </row>
    <row r="121" spans="1:6" x14ac:dyDescent="0.25">
      <c r="A121" s="1" t="s">
        <v>244</v>
      </c>
      <c r="B121" s="1" t="s">
        <v>245</v>
      </c>
      <c r="C121" s="1">
        <f>VLOOKUP(Table135[[#This Row],[Code]],'Main Storage'!A:D,3,0)</f>
        <v>47</v>
      </c>
      <c r="D121" s="1">
        <f>VLOOKUP(Table135[[#This Row],[Code]],Iowa!A:F,6,0)</f>
        <v>0</v>
      </c>
      <c r="E121" s="11"/>
      <c r="F121" s="1">
        <f>Table135[[#This Row],[Box]]-Table135[[#This Row],[Order]]</f>
        <v>0</v>
      </c>
    </row>
    <row r="122" spans="1:6" x14ac:dyDescent="0.25">
      <c r="A122" s="1" t="s">
        <v>246</v>
      </c>
      <c r="B122" s="1" t="s">
        <v>247</v>
      </c>
      <c r="C122" s="1">
        <f>VLOOKUP(Table135[[#This Row],[Code]],'Main Storage'!A:D,3,0)</f>
        <v>463</v>
      </c>
      <c r="D122" s="1">
        <f>VLOOKUP(Table135[[#This Row],[Code]],Iowa!A:F,6,0)</f>
        <v>3</v>
      </c>
      <c r="E122" s="11"/>
      <c r="F122" s="1">
        <f>Table135[[#This Row],[Box]]-Table135[[#This Row],[Order]]</f>
        <v>3</v>
      </c>
    </row>
    <row r="123" spans="1:6" x14ac:dyDescent="0.25">
      <c r="A123" s="1" t="s">
        <v>248</v>
      </c>
      <c r="B123" s="1" t="s">
        <v>249</v>
      </c>
      <c r="C123" s="1">
        <f>VLOOKUP(Table135[[#This Row],[Code]],'Main Storage'!A:D,3,0)</f>
        <v>1434</v>
      </c>
      <c r="D123" s="1">
        <f>VLOOKUP(Table135[[#This Row],[Code]],Iowa!A:F,6,0)</f>
        <v>11</v>
      </c>
      <c r="E123" s="11"/>
      <c r="F123" s="1">
        <f>Table135[[#This Row],[Box]]-Table135[[#This Row],[Order]]</f>
        <v>11</v>
      </c>
    </row>
    <row r="124" spans="1:6" x14ac:dyDescent="0.25">
      <c r="A124" s="1" t="s">
        <v>250</v>
      </c>
      <c r="B124" s="1" t="s">
        <v>251</v>
      </c>
      <c r="C124" s="1">
        <f>VLOOKUP(Table135[[#This Row],[Code]],'Main Storage'!A:D,3,0)</f>
        <v>399</v>
      </c>
      <c r="D124" s="1">
        <f>VLOOKUP(Table135[[#This Row],[Code]],Iowa!A:F,6,0)</f>
        <v>3</v>
      </c>
      <c r="E124" s="11"/>
      <c r="F124" s="1">
        <f>Table135[[#This Row],[Box]]-Table135[[#This Row],[Order]]</f>
        <v>3</v>
      </c>
    </row>
    <row r="125" spans="1:6" x14ac:dyDescent="0.25">
      <c r="A125" s="1" t="s">
        <v>252</v>
      </c>
      <c r="B125" s="1" t="s">
        <v>253</v>
      </c>
      <c r="C125" s="1">
        <f>VLOOKUP(Table135[[#This Row],[Code]],'Main Storage'!A:D,3,0)</f>
        <v>910</v>
      </c>
      <c r="D125" s="1">
        <f>VLOOKUP(Table135[[#This Row],[Code]],Iowa!A:F,6,0)</f>
        <v>7</v>
      </c>
      <c r="E125" s="11"/>
      <c r="F125" s="1">
        <f>Table135[[#This Row],[Box]]-Table135[[#This Row],[Order]]</f>
        <v>7</v>
      </c>
    </row>
    <row r="126" spans="1:6" x14ac:dyDescent="0.25">
      <c r="A126" s="1" t="s">
        <v>254</v>
      </c>
      <c r="B126" s="1" t="s">
        <v>255</v>
      </c>
      <c r="C126" s="1">
        <f>VLOOKUP(Table135[[#This Row],[Code]],'Main Storage'!A:D,3,0)</f>
        <v>710</v>
      </c>
      <c r="D126" s="1">
        <f>VLOOKUP(Table135[[#This Row],[Code]],Iowa!A:F,6,0)</f>
        <v>5</v>
      </c>
      <c r="E126" s="11"/>
      <c r="F126" s="1">
        <f>Table135[[#This Row],[Box]]-Table135[[#This Row],[Order]]</f>
        <v>5</v>
      </c>
    </row>
    <row r="127" spans="1:6" x14ac:dyDescent="0.25">
      <c r="A127" s="1" t="s">
        <v>256</v>
      </c>
      <c r="B127" s="1" t="s">
        <v>257</v>
      </c>
      <c r="C127" s="1">
        <f>VLOOKUP(Table135[[#This Row],[Code]],'Main Storage'!A:D,3,0)</f>
        <v>977</v>
      </c>
      <c r="D127" s="1">
        <f>VLOOKUP(Table135[[#This Row],[Code]],Iowa!A:F,6,0)</f>
        <v>8</v>
      </c>
      <c r="E127" s="11"/>
      <c r="F127" s="1">
        <f>Table135[[#This Row],[Box]]-Table135[[#This Row],[Order]]</f>
        <v>8</v>
      </c>
    </row>
    <row r="128" spans="1:6" x14ac:dyDescent="0.25">
      <c r="A128" s="1" t="s">
        <v>258</v>
      </c>
      <c r="B128" s="1" t="s">
        <v>259</v>
      </c>
      <c r="C128" s="1">
        <f>VLOOKUP(Table135[[#This Row],[Code]],'Main Storage'!A:D,3,0)</f>
        <v>592</v>
      </c>
      <c r="D128" s="1">
        <f>VLOOKUP(Table135[[#This Row],[Code]],Iowa!A:F,6,0)</f>
        <v>4</v>
      </c>
      <c r="E128" s="11"/>
      <c r="F128" s="1">
        <f>Table135[[#This Row],[Box]]-Table135[[#This Row],[Order]]</f>
        <v>4</v>
      </c>
    </row>
    <row r="129" spans="1:6" x14ac:dyDescent="0.25">
      <c r="A129" s="1" t="s">
        <v>260</v>
      </c>
      <c r="B129" s="1" t="s">
        <v>261</v>
      </c>
      <c r="C129" s="1">
        <f>VLOOKUP(Table135[[#This Row],[Code]],'Main Storage'!A:D,3,0)</f>
        <v>576</v>
      </c>
      <c r="D129" s="1">
        <f>VLOOKUP(Table135[[#This Row],[Code]],Iowa!A:F,6,0)</f>
        <v>4</v>
      </c>
      <c r="E129" s="11"/>
      <c r="F129" s="1">
        <f>Table135[[#This Row],[Box]]-Table135[[#This Row],[Order]]</f>
        <v>4</v>
      </c>
    </row>
    <row r="130" spans="1:6" x14ac:dyDescent="0.25">
      <c r="A130" s="1" t="s">
        <v>262</v>
      </c>
      <c r="B130" s="1" t="s">
        <v>263</v>
      </c>
      <c r="C130" s="1">
        <f>VLOOKUP(Table135[[#This Row],[Code]],'Main Storage'!A:D,3,0)</f>
        <v>565</v>
      </c>
      <c r="D130" s="1">
        <f>VLOOKUP(Table135[[#This Row],[Code]],Iowa!A:F,6,0)</f>
        <v>4</v>
      </c>
      <c r="E130" s="11"/>
      <c r="F130" s="1">
        <f>Table135[[#This Row],[Box]]-Table135[[#This Row],[Order]]</f>
        <v>4</v>
      </c>
    </row>
    <row r="131" spans="1:6" x14ac:dyDescent="0.25">
      <c r="A131" s="1" t="s">
        <v>264</v>
      </c>
      <c r="B131" s="1" t="s">
        <v>265</v>
      </c>
      <c r="C131" s="1">
        <f>VLOOKUP(Table135[[#This Row],[Code]],'Main Storage'!A:D,3,0)</f>
        <v>931</v>
      </c>
      <c r="D131" s="1">
        <f>VLOOKUP(Table135[[#This Row],[Code]],Iowa!A:F,6,0)</f>
        <v>7</v>
      </c>
      <c r="E131" s="11"/>
      <c r="F131" s="1">
        <f>Table135[[#This Row],[Box]]-Table135[[#This Row],[Order]]</f>
        <v>7</v>
      </c>
    </row>
    <row r="132" spans="1:6" x14ac:dyDescent="0.25">
      <c r="A132" s="1" t="s">
        <v>266</v>
      </c>
      <c r="B132" s="1" t="s">
        <v>267</v>
      </c>
      <c r="C132" s="1">
        <f>VLOOKUP(Table135[[#This Row],[Code]],'Main Storage'!A:D,3,0)</f>
        <v>791</v>
      </c>
      <c r="D132" s="1">
        <f>VLOOKUP(Table135[[#This Row],[Code]],Iowa!A:F,6,0)</f>
        <v>6</v>
      </c>
      <c r="E132" s="11"/>
      <c r="F132" s="1">
        <f>Table135[[#This Row],[Box]]-Table135[[#This Row],[Order]]</f>
        <v>6</v>
      </c>
    </row>
    <row r="133" spans="1:6" x14ac:dyDescent="0.25">
      <c r="A133" s="1" t="s">
        <v>268</v>
      </c>
      <c r="B133" s="1" t="s">
        <v>269</v>
      </c>
      <c r="C133" s="1">
        <f>VLOOKUP(Table135[[#This Row],[Code]],'Main Storage'!A:D,3,0)</f>
        <v>274</v>
      </c>
      <c r="D133" s="1">
        <f>VLOOKUP(Table135[[#This Row],[Code]],Iowa!A:F,6,0)</f>
        <v>2</v>
      </c>
      <c r="E133" s="11"/>
      <c r="F133" s="1">
        <f>Table135[[#This Row],[Box]]-Table135[[#This Row],[Order]]</f>
        <v>2</v>
      </c>
    </row>
    <row r="134" spans="1:6" x14ac:dyDescent="0.25">
      <c r="A134" s="1" t="s">
        <v>270</v>
      </c>
      <c r="B134" s="1" t="s">
        <v>271</v>
      </c>
      <c r="C134" s="1">
        <f>VLOOKUP(Table135[[#This Row],[Code]],'Main Storage'!A:D,3,0)</f>
        <v>640</v>
      </c>
      <c r="D134" s="1">
        <f>VLOOKUP(Table135[[#This Row],[Code]],Iowa!A:F,6,0)</f>
        <v>5</v>
      </c>
      <c r="E134" s="11"/>
      <c r="F134" s="1">
        <f>Table135[[#This Row],[Box]]-Table135[[#This Row],[Order]]</f>
        <v>5</v>
      </c>
    </row>
    <row r="135" spans="1:6" x14ac:dyDescent="0.25">
      <c r="A135" s="1" t="s">
        <v>272</v>
      </c>
      <c r="B135" s="1" t="s">
        <v>273</v>
      </c>
      <c r="C135" s="1">
        <f>VLOOKUP(Table135[[#This Row],[Code]],'Main Storage'!A:D,3,0)</f>
        <v>1239</v>
      </c>
      <c r="D135" s="1">
        <f>VLOOKUP(Table135[[#This Row],[Code]],Iowa!A:F,6,0)</f>
        <v>10</v>
      </c>
      <c r="E135" s="11"/>
      <c r="F135" s="1">
        <f>Table135[[#This Row],[Box]]-Table135[[#This Row],[Order]]</f>
        <v>10</v>
      </c>
    </row>
    <row r="136" spans="1:6" x14ac:dyDescent="0.25">
      <c r="A136" s="1" t="s">
        <v>274</v>
      </c>
      <c r="B136" s="1" t="s">
        <v>275</v>
      </c>
      <c r="C136" s="1">
        <f>VLOOKUP(Table135[[#This Row],[Code]],'Main Storage'!A:D,3,0)</f>
        <v>359</v>
      </c>
      <c r="D136" s="1">
        <f>VLOOKUP(Table135[[#This Row],[Code]],Iowa!A:F,6,0)</f>
        <v>2</v>
      </c>
      <c r="E136" s="11"/>
      <c r="F136" s="1">
        <f>Table135[[#This Row],[Box]]-Table135[[#This Row],[Order]]</f>
        <v>2</v>
      </c>
    </row>
    <row r="137" spans="1:6" x14ac:dyDescent="0.25">
      <c r="A137" s="1" t="s">
        <v>276</v>
      </c>
      <c r="B137" s="1" t="s">
        <v>277</v>
      </c>
      <c r="C137" s="1">
        <f>VLOOKUP(Table135[[#This Row],[Code]],'Main Storage'!A:D,3,0)</f>
        <v>495</v>
      </c>
      <c r="D137" s="1">
        <f>VLOOKUP(Table135[[#This Row],[Code]],Iowa!A:F,6,0)</f>
        <v>4</v>
      </c>
      <c r="E137" s="11"/>
      <c r="F137" s="1">
        <f>Table135[[#This Row],[Box]]-Table135[[#This Row],[Order]]</f>
        <v>4</v>
      </c>
    </row>
    <row r="138" spans="1:6" x14ac:dyDescent="0.25">
      <c r="A138" s="1" t="s">
        <v>278</v>
      </c>
      <c r="B138" s="1" t="s">
        <v>279</v>
      </c>
      <c r="C138" s="1">
        <f>VLOOKUP(Table135[[#This Row],[Code]],'Main Storage'!A:D,3,0)</f>
        <v>481</v>
      </c>
      <c r="D138" s="1">
        <f>VLOOKUP(Table135[[#This Row],[Code]],Iowa!A:F,6,0)</f>
        <v>4</v>
      </c>
      <c r="E138" s="11"/>
      <c r="F138" s="1">
        <f>Table135[[#This Row],[Box]]-Table135[[#This Row],[Order]]</f>
        <v>4</v>
      </c>
    </row>
    <row r="139" spans="1:6" x14ac:dyDescent="0.25">
      <c r="A139" s="1" t="s">
        <v>280</v>
      </c>
      <c r="B139" s="1" t="s">
        <v>281</v>
      </c>
      <c r="C139" s="1">
        <f>VLOOKUP(Table135[[#This Row],[Code]],'Main Storage'!A:D,3,0)</f>
        <v>872</v>
      </c>
      <c r="D139" s="1">
        <f>VLOOKUP(Table135[[#This Row],[Code]],Iowa!A:F,6,0)</f>
        <v>7</v>
      </c>
      <c r="E139" s="11"/>
      <c r="F139" s="1">
        <f>Table135[[#This Row],[Box]]-Table135[[#This Row],[Order]]</f>
        <v>7</v>
      </c>
    </row>
    <row r="140" spans="1:6" x14ac:dyDescent="0.25">
      <c r="A140" s="1" t="s">
        <v>282</v>
      </c>
      <c r="B140" s="1" t="s">
        <v>283</v>
      </c>
      <c r="C140" s="1">
        <f>VLOOKUP(Table135[[#This Row],[Code]],'Main Storage'!A:D,3,0)</f>
        <v>864</v>
      </c>
      <c r="D140" s="1">
        <f>VLOOKUP(Table135[[#This Row],[Code]],Iowa!A:F,6,0)</f>
        <v>7</v>
      </c>
      <c r="E140" s="11"/>
      <c r="F140" s="1">
        <f>Table135[[#This Row],[Box]]-Table135[[#This Row],[Order]]</f>
        <v>7</v>
      </c>
    </row>
    <row r="141" spans="1:6" x14ac:dyDescent="0.25">
      <c r="A141" s="1" t="s">
        <v>284</v>
      </c>
      <c r="B141" s="1" t="s">
        <v>285</v>
      </c>
      <c r="C141" s="1">
        <f>VLOOKUP(Table135[[#This Row],[Code]],'Main Storage'!A:D,3,0)</f>
        <v>1498</v>
      </c>
      <c r="D141" s="1">
        <f>VLOOKUP(Table135[[#This Row],[Code]],Iowa!A:F,6,0)</f>
        <v>12</v>
      </c>
      <c r="E141" s="11"/>
      <c r="F141" s="1">
        <f>Table135[[#This Row],[Box]]-Table135[[#This Row],[Order]]</f>
        <v>12</v>
      </c>
    </row>
    <row r="142" spans="1:6" x14ac:dyDescent="0.25">
      <c r="A142" s="1" t="s">
        <v>286</v>
      </c>
      <c r="B142" s="1" t="s">
        <v>287</v>
      </c>
      <c r="C142" s="1">
        <f>VLOOKUP(Table135[[#This Row],[Code]],'Main Storage'!A:D,3,0)</f>
        <v>254</v>
      </c>
      <c r="D142" s="1">
        <f>VLOOKUP(Table135[[#This Row],[Code]],Iowa!A:F,6,0)</f>
        <v>2</v>
      </c>
      <c r="E142" s="11"/>
      <c r="F142" s="1">
        <f>Table135[[#This Row],[Box]]-Table135[[#This Row],[Order]]</f>
        <v>2</v>
      </c>
    </row>
    <row r="143" spans="1:6" x14ac:dyDescent="0.25">
      <c r="A143" s="1" t="s">
        <v>288</v>
      </c>
      <c r="B143" s="1" t="s">
        <v>289</v>
      </c>
      <c r="C143" s="1">
        <f>VLOOKUP(Table135[[#This Row],[Code]],'Main Storage'!A:D,3,0)</f>
        <v>145</v>
      </c>
      <c r="D143" s="1">
        <f>VLOOKUP(Table135[[#This Row],[Code]],Iowa!A:F,6,0)</f>
        <v>1</v>
      </c>
      <c r="E143" s="11"/>
      <c r="F143" s="1">
        <f>Table135[[#This Row],[Box]]-Table135[[#This Row],[Order]]</f>
        <v>1</v>
      </c>
    </row>
    <row r="144" spans="1:6" x14ac:dyDescent="0.25">
      <c r="A144" s="1" t="s">
        <v>290</v>
      </c>
      <c r="B144" s="1" t="s">
        <v>291</v>
      </c>
      <c r="C144" s="1">
        <f>VLOOKUP(Table135[[#This Row],[Code]],'Main Storage'!A:D,3,0)</f>
        <v>193</v>
      </c>
      <c r="D144" s="1">
        <f>VLOOKUP(Table135[[#This Row],[Code]],Iowa!A:F,6,0)</f>
        <v>1</v>
      </c>
      <c r="E144" s="11"/>
      <c r="F144" s="1">
        <f>Table135[[#This Row],[Box]]-Table135[[#This Row],[Order]]</f>
        <v>1</v>
      </c>
    </row>
    <row r="145" spans="1:6" x14ac:dyDescent="0.25">
      <c r="A145" s="1" t="s">
        <v>292</v>
      </c>
      <c r="B145" s="1" t="s">
        <v>293</v>
      </c>
      <c r="C145" s="1">
        <f>VLOOKUP(Table135[[#This Row],[Code]],'Main Storage'!A:D,3,0)</f>
        <v>1478</v>
      </c>
      <c r="D145" s="1">
        <f>VLOOKUP(Table135[[#This Row],[Code]],Iowa!A:F,6,0)</f>
        <v>12</v>
      </c>
      <c r="E145" s="11"/>
      <c r="F145" s="1">
        <f>Table135[[#This Row],[Box]]-Table135[[#This Row],[Order]]</f>
        <v>12</v>
      </c>
    </row>
    <row r="146" spans="1:6" x14ac:dyDescent="0.25">
      <c r="A146" s="1" t="s">
        <v>294</v>
      </c>
      <c r="B146" s="1" t="s">
        <v>295</v>
      </c>
      <c r="C146" s="1">
        <f>VLOOKUP(Table135[[#This Row],[Code]],'Main Storage'!A:D,3,0)</f>
        <v>958</v>
      </c>
      <c r="D146" s="1">
        <f>VLOOKUP(Table135[[#This Row],[Code]],Iowa!A:F,6,0)</f>
        <v>7</v>
      </c>
      <c r="E146" s="11"/>
      <c r="F146" s="1">
        <f>Table135[[#This Row],[Box]]-Table135[[#This Row],[Order]]</f>
        <v>7</v>
      </c>
    </row>
    <row r="147" spans="1:6" x14ac:dyDescent="0.25">
      <c r="A147" s="1" t="s">
        <v>296</v>
      </c>
      <c r="B147" s="1" t="s">
        <v>297</v>
      </c>
      <c r="C147" s="1">
        <f>VLOOKUP(Table135[[#This Row],[Code]],'Main Storage'!A:D,3,0)</f>
        <v>1327</v>
      </c>
      <c r="D147" s="1">
        <f>VLOOKUP(Table135[[#This Row],[Code]],Iowa!A:F,6,0)</f>
        <v>11</v>
      </c>
      <c r="E147" s="11"/>
      <c r="F147" s="1">
        <f>Table135[[#This Row],[Box]]-Table135[[#This Row],[Order]]</f>
        <v>11</v>
      </c>
    </row>
    <row r="148" spans="1:6" x14ac:dyDescent="0.25">
      <c r="A148" s="1" t="s">
        <v>298</v>
      </c>
      <c r="B148" s="1" t="s">
        <v>299</v>
      </c>
      <c r="C148" s="1">
        <f>VLOOKUP(Table135[[#This Row],[Code]],'Main Storage'!A:D,3,0)</f>
        <v>1297</v>
      </c>
      <c r="D148" s="1">
        <f>VLOOKUP(Table135[[#This Row],[Code]],Iowa!A:F,6,0)</f>
        <v>10</v>
      </c>
      <c r="E148" s="11"/>
      <c r="F148" s="1">
        <f>Table135[[#This Row],[Box]]-Table135[[#This Row],[Order]]</f>
        <v>10</v>
      </c>
    </row>
    <row r="149" spans="1:6" x14ac:dyDescent="0.25">
      <c r="A149" s="1" t="s">
        <v>300</v>
      </c>
      <c r="B149" s="1" t="s">
        <v>301</v>
      </c>
      <c r="C149" s="1">
        <f>VLOOKUP(Table135[[#This Row],[Code]],'Main Storage'!A:D,3,0)</f>
        <v>284</v>
      </c>
      <c r="D149" s="1">
        <f>VLOOKUP(Table135[[#This Row],[Code]],Iowa!A:F,6,0)</f>
        <v>2</v>
      </c>
      <c r="E149" s="11"/>
      <c r="F149" s="1">
        <f>Table135[[#This Row],[Box]]-Table135[[#This Row],[Order]]</f>
        <v>2</v>
      </c>
    </row>
    <row r="150" spans="1:6" x14ac:dyDescent="0.25">
      <c r="A150" s="1" t="s">
        <v>302</v>
      </c>
      <c r="B150" s="1" t="s">
        <v>303</v>
      </c>
      <c r="C150" s="1">
        <f>VLOOKUP(Table135[[#This Row],[Code]],'Main Storage'!A:D,3,0)</f>
        <v>177</v>
      </c>
      <c r="D150" s="1">
        <f>VLOOKUP(Table135[[#This Row],[Code]],Iowa!A:F,6,0)</f>
        <v>1</v>
      </c>
      <c r="E150" s="11"/>
      <c r="F150" s="1">
        <f>Table135[[#This Row],[Box]]-Table135[[#This Row],[Order]]</f>
        <v>1</v>
      </c>
    </row>
    <row r="151" spans="1:6" x14ac:dyDescent="0.25">
      <c r="A151" s="1" t="s">
        <v>304</v>
      </c>
      <c r="B151" s="1" t="s">
        <v>305</v>
      </c>
      <c r="C151" s="1">
        <f>VLOOKUP(Table135[[#This Row],[Code]],'Main Storage'!A:D,3,0)</f>
        <v>1288</v>
      </c>
      <c r="D151" s="1">
        <f>VLOOKUP(Table135[[#This Row],[Code]],Iowa!A:F,6,0)</f>
        <v>10</v>
      </c>
      <c r="E151" s="11"/>
      <c r="F151" s="1">
        <f>Table135[[#This Row],[Box]]-Table135[[#This Row],[Order]]</f>
        <v>10</v>
      </c>
    </row>
    <row r="152" spans="1:6" x14ac:dyDescent="0.25">
      <c r="A152" s="1" t="s">
        <v>306</v>
      </c>
      <c r="B152" s="1" t="s">
        <v>307</v>
      </c>
      <c r="C152" s="1">
        <f>VLOOKUP(Table135[[#This Row],[Code]],'Main Storage'!A:D,3,0)</f>
        <v>1050</v>
      </c>
      <c r="D152" s="1">
        <f>VLOOKUP(Table135[[#This Row],[Code]],Iowa!A:F,6,0)</f>
        <v>8</v>
      </c>
      <c r="E152" s="11"/>
      <c r="F152" s="1">
        <f>Table135[[#This Row],[Box]]-Table135[[#This Row],[Order]]</f>
        <v>8</v>
      </c>
    </row>
    <row r="153" spans="1:6" x14ac:dyDescent="0.25">
      <c r="A153" s="1" t="s">
        <v>308</v>
      </c>
      <c r="B153" s="1" t="s">
        <v>309</v>
      </c>
      <c r="C153" s="1">
        <f>VLOOKUP(Table135[[#This Row],[Code]],'Main Storage'!A:D,3,0)</f>
        <v>686</v>
      </c>
      <c r="D153" s="1">
        <f>VLOOKUP(Table135[[#This Row],[Code]],Iowa!A:F,6,0)</f>
        <v>5</v>
      </c>
      <c r="E153" s="11"/>
      <c r="F153" s="1">
        <f>Table135[[#This Row],[Box]]-Table135[[#This Row],[Order]]</f>
        <v>5</v>
      </c>
    </row>
    <row r="154" spans="1:6" x14ac:dyDescent="0.25">
      <c r="A154" s="1" t="s">
        <v>310</v>
      </c>
      <c r="B154" s="1" t="s">
        <v>311</v>
      </c>
      <c r="C154" s="1">
        <f>VLOOKUP(Table135[[#This Row],[Code]],'Main Storage'!A:D,3,0)</f>
        <v>238</v>
      </c>
      <c r="D154" s="1">
        <f>VLOOKUP(Table135[[#This Row],[Code]],Iowa!A:F,6,0)</f>
        <v>1</v>
      </c>
      <c r="E154" s="11"/>
      <c r="F154" s="1">
        <f>Table135[[#This Row],[Box]]-Table135[[#This Row],[Order]]</f>
        <v>1</v>
      </c>
    </row>
    <row r="155" spans="1:6" x14ac:dyDescent="0.25">
      <c r="A155" s="1" t="s">
        <v>312</v>
      </c>
      <c r="B155" s="1" t="s">
        <v>313</v>
      </c>
      <c r="C155" s="1">
        <f>VLOOKUP(Table135[[#This Row],[Code]],'Main Storage'!A:D,3,0)</f>
        <v>1063</v>
      </c>
      <c r="D155" s="1">
        <f>VLOOKUP(Table135[[#This Row],[Code]],Iowa!A:F,6,0)</f>
        <v>8</v>
      </c>
      <c r="E155" s="11"/>
      <c r="F155" s="1">
        <f>Table135[[#This Row],[Box]]-Table135[[#This Row],[Order]]</f>
        <v>8</v>
      </c>
    </row>
    <row r="156" spans="1:6" x14ac:dyDescent="0.25">
      <c r="A156" s="1" t="s">
        <v>314</v>
      </c>
      <c r="B156" s="1" t="s">
        <v>315</v>
      </c>
      <c r="C156" s="1">
        <f>VLOOKUP(Table135[[#This Row],[Code]],'Main Storage'!A:D,3,0)</f>
        <v>508</v>
      </c>
      <c r="D156" s="1">
        <f>VLOOKUP(Table135[[#This Row],[Code]],Iowa!A:F,6,0)</f>
        <v>4</v>
      </c>
      <c r="E156" s="11"/>
      <c r="F156" s="1">
        <f>Table135[[#This Row],[Box]]-Table135[[#This Row],[Order]]</f>
        <v>4</v>
      </c>
    </row>
    <row r="157" spans="1:6" x14ac:dyDescent="0.25">
      <c r="A157" s="1" t="s">
        <v>316</v>
      </c>
      <c r="B157" s="1" t="s">
        <v>317</v>
      </c>
      <c r="C157" s="1">
        <f>VLOOKUP(Table135[[#This Row],[Code]],'Main Storage'!A:D,3,0)</f>
        <v>166</v>
      </c>
      <c r="D157" s="1">
        <f>VLOOKUP(Table135[[#This Row],[Code]],Iowa!A:F,6,0)</f>
        <v>1</v>
      </c>
      <c r="E157" s="11"/>
      <c r="F157" s="1">
        <f>Table135[[#This Row],[Box]]-Table135[[#This Row],[Order]]</f>
        <v>1</v>
      </c>
    </row>
    <row r="158" spans="1:6" x14ac:dyDescent="0.25">
      <c r="A158" s="1" t="s">
        <v>318</v>
      </c>
      <c r="B158" s="1" t="s">
        <v>319</v>
      </c>
      <c r="C158" s="1">
        <f>VLOOKUP(Table135[[#This Row],[Code]],'Main Storage'!A:D,3,0)</f>
        <v>695</v>
      </c>
      <c r="D158" s="1">
        <f>VLOOKUP(Table135[[#This Row],[Code]],Iowa!A:F,6,0)</f>
        <v>5</v>
      </c>
      <c r="E158" s="11"/>
      <c r="F158" s="1">
        <f>Table135[[#This Row],[Box]]-Table135[[#This Row],[Order]]</f>
        <v>5</v>
      </c>
    </row>
    <row r="159" spans="1:6" x14ac:dyDescent="0.25">
      <c r="A159" s="1" t="s">
        <v>320</v>
      </c>
      <c r="B159" s="1" t="s">
        <v>321</v>
      </c>
      <c r="C159" s="1">
        <f>VLOOKUP(Table135[[#This Row],[Code]],'Main Storage'!A:D,3,0)</f>
        <v>1209</v>
      </c>
      <c r="D159" s="1">
        <f>VLOOKUP(Table135[[#This Row],[Code]],Iowa!A:F,6,0)</f>
        <v>10</v>
      </c>
      <c r="E159" s="11"/>
      <c r="F159" s="1">
        <f>Table135[[#This Row],[Box]]-Table135[[#This Row],[Order]]</f>
        <v>10</v>
      </c>
    </row>
    <row r="160" spans="1:6" x14ac:dyDescent="0.25">
      <c r="A160" s="1" t="s">
        <v>322</v>
      </c>
      <c r="B160" s="1" t="s">
        <v>323</v>
      </c>
      <c r="C160" s="1">
        <f>VLOOKUP(Table135[[#This Row],[Code]],'Main Storage'!A:D,3,0)</f>
        <v>458</v>
      </c>
      <c r="D160" s="1">
        <f>VLOOKUP(Table135[[#This Row],[Code]],Iowa!A:F,6,0)</f>
        <v>3</v>
      </c>
      <c r="E160" s="11"/>
      <c r="F160" s="1">
        <f>Table135[[#This Row],[Box]]-Table135[[#This Row],[Order]]</f>
        <v>3</v>
      </c>
    </row>
    <row r="161" spans="1:6" x14ac:dyDescent="0.25">
      <c r="A161" s="1" t="s">
        <v>324</v>
      </c>
      <c r="B161" s="1" t="s">
        <v>325</v>
      </c>
      <c r="C161" s="1">
        <f>VLOOKUP(Table135[[#This Row],[Code]],'Main Storage'!A:D,3,0)</f>
        <v>557</v>
      </c>
      <c r="D161" s="1">
        <f>VLOOKUP(Table135[[#This Row],[Code]],Iowa!A:F,6,0)</f>
        <v>4</v>
      </c>
      <c r="E161" s="11"/>
      <c r="F161" s="1">
        <f>Table135[[#This Row],[Box]]-Table135[[#This Row],[Order]]</f>
        <v>4</v>
      </c>
    </row>
    <row r="162" spans="1:6" x14ac:dyDescent="0.25">
      <c r="A162" s="1" t="s">
        <v>326</v>
      </c>
      <c r="B162" s="1" t="s">
        <v>327</v>
      </c>
      <c r="C162" s="1">
        <f>VLOOKUP(Table135[[#This Row],[Code]],'Main Storage'!A:D,3,0)</f>
        <v>1417</v>
      </c>
      <c r="D162" s="1">
        <f>VLOOKUP(Table135[[#This Row],[Code]],Iowa!A:F,6,0)</f>
        <v>11</v>
      </c>
      <c r="E162" s="11"/>
      <c r="F162" s="1">
        <f>Table135[[#This Row],[Box]]-Table135[[#This Row],[Order]]</f>
        <v>11</v>
      </c>
    </row>
    <row r="163" spans="1:6" x14ac:dyDescent="0.25">
      <c r="A163" s="1" t="s">
        <v>328</v>
      </c>
      <c r="B163" s="1" t="s">
        <v>329</v>
      </c>
      <c r="C163" s="1">
        <f>VLOOKUP(Table135[[#This Row],[Code]],'Main Storage'!A:D,3,0)</f>
        <v>86</v>
      </c>
      <c r="D163" s="1">
        <f>VLOOKUP(Table135[[#This Row],[Code]],Iowa!A:F,6,0)</f>
        <v>0</v>
      </c>
      <c r="E163" s="11"/>
      <c r="F163" s="1">
        <f>Table135[[#This Row],[Box]]-Table135[[#This Row],[Order]]</f>
        <v>0</v>
      </c>
    </row>
    <row r="164" spans="1:6" x14ac:dyDescent="0.25">
      <c r="A164" s="1" t="s">
        <v>330</v>
      </c>
      <c r="B164" s="1" t="s">
        <v>331</v>
      </c>
      <c r="C164" s="1">
        <f>VLOOKUP(Table135[[#This Row],[Code]],'Main Storage'!A:D,3,0)</f>
        <v>531</v>
      </c>
      <c r="D164" s="1">
        <f>VLOOKUP(Table135[[#This Row],[Code]],Iowa!A:F,6,0)</f>
        <v>4</v>
      </c>
      <c r="E164" s="11"/>
      <c r="F164" s="1">
        <f>Table135[[#This Row],[Box]]-Table135[[#This Row],[Order]]</f>
        <v>4</v>
      </c>
    </row>
    <row r="165" spans="1:6" x14ac:dyDescent="0.25">
      <c r="A165" s="1" t="s">
        <v>332</v>
      </c>
      <c r="B165" s="1" t="s">
        <v>333</v>
      </c>
      <c r="C165" s="1">
        <f>VLOOKUP(Table135[[#This Row],[Code]],'Main Storage'!A:D,3,0)</f>
        <v>574</v>
      </c>
      <c r="D165" s="1">
        <f>VLOOKUP(Table135[[#This Row],[Code]],Iowa!A:F,6,0)</f>
        <v>4</v>
      </c>
      <c r="E165" s="11"/>
      <c r="F165" s="1">
        <f>Table135[[#This Row],[Box]]-Table135[[#This Row],[Order]]</f>
        <v>4</v>
      </c>
    </row>
    <row r="166" spans="1:6" x14ac:dyDescent="0.25">
      <c r="A166" s="1" t="s">
        <v>334</v>
      </c>
      <c r="B166" s="1" t="s">
        <v>335</v>
      </c>
      <c r="C166" s="1">
        <f>VLOOKUP(Table135[[#This Row],[Code]],'Main Storage'!A:D,3,0)</f>
        <v>908</v>
      </c>
      <c r="D166" s="1">
        <f>VLOOKUP(Table135[[#This Row],[Code]],Iowa!A:F,6,0)</f>
        <v>7</v>
      </c>
      <c r="E166" s="11"/>
      <c r="F166" s="1">
        <f>Table135[[#This Row],[Box]]-Table135[[#This Row],[Order]]</f>
        <v>7</v>
      </c>
    </row>
    <row r="167" spans="1:6" x14ac:dyDescent="0.25">
      <c r="A167" s="1" t="s">
        <v>336</v>
      </c>
      <c r="B167" s="1" t="s">
        <v>337</v>
      </c>
      <c r="C167" s="1">
        <f>VLOOKUP(Table135[[#This Row],[Code]],'Main Storage'!A:D,3,0)</f>
        <v>546</v>
      </c>
      <c r="D167" s="1">
        <f>VLOOKUP(Table135[[#This Row],[Code]],Iowa!A:F,6,0)</f>
        <v>4</v>
      </c>
      <c r="E167" s="11"/>
      <c r="F167" s="1">
        <f>Table135[[#This Row],[Box]]-Table135[[#This Row],[Order]]</f>
        <v>4</v>
      </c>
    </row>
    <row r="168" spans="1:6" x14ac:dyDescent="0.25">
      <c r="A168" s="1" t="s">
        <v>338</v>
      </c>
      <c r="B168" s="1" t="s">
        <v>339</v>
      </c>
      <c r="C168" s="1">
        <f>VLOOKUP(Table135[[#This Row],[Code]],'Main Storage'!A:D,3,0)</f>
        <v>537</v>
      </c>
      <c r="D168" s="1">
        <f>VLOOKUP(Table135[[#This Row],[Code]],Iowa!A:F,6,0)</f>
        <v>4</v>
      </c>
      <c r="E168" s="11"/>
      <c r="F168" s="1">
        <f>Table135[[#This Row],[Box]]-Table135[[#This Row],[Order]]</f>
        <v>4</v>
      </c>
    </row>
    <row r="169" spans="1:6" x14ac:dyDescent="0.25">
      <c r="A169" s="1" t="s">
        <v>340</v>
      </c>
      <c r="B169" s="1" t="s">
        <v>341</v>
      </c>
      <c r="C169" s="1">
        <f>VLOOKUP(Table135[[#This Row],[Code]],'Main Storage'!A:D,3,0)</f>
        <v>579</v>
      </c>
      <c r="D169" s="1">
        <f>VLOOKUP(Table135[[#This Row],[Code]],Iowa!A:F,6,0)</f>
        <v>4</v>
      </c>
      <c r="E169" s="11"/>
      <c r="F169" s="1">
        <f>Table135[[#This Row],[Box]]-Table135[[#This Row],[Order]]</f>
        <v>4</v>
      </c>
    </row>
    <row r="170" spans="1:6" x14ac:dyDescent="0.25">
      <c r="A170" s="1" t="s">
        <v>342</v>
      </c>
      <c r="B170" s="1" t="s">
        <v>343</v>
      </c>
      <c r="C170" s="1">
        <f>VLOOKUP(Table135[[#This Row],[Code]],'Main Storage'!A:D,3,0)</f>
        <v>975</v>
      </c>
      <c r="D170" s="1">
        <f>VLOOKUP(Table135[[#This Row],[Code]],Iowa!A:F,6,0)</f>
        <v>8</v>
      </c>
      <c r="E170" s="11"/>
      <c r="F170" s="1">
        <f>Table135[[#This Row],[Box]]-Table135[[#This Row],[Order]]</f>
        <v>8</v>
      </c>
    </row>
    <row r="171" spans="1:6" x14ac:dyDescent="0.25">
      <c r="A171" s="1" t="s">
        <v>344</v>
      </c>
      <c r="B171" s="1" t="s">
        <v>345</v>
      </c>
      <c r="C171" s="1">
        <f>VLOOKUP(Table135[[#This Row],[Code]],'Main Storage'!A:D,3,0)</f>
        <v>3</v>
      </c>
      <c r="D171" s="1">
        <f>VLOOKUP(Table135[[#This Row],[Code]],Iowa!A:F,6,0)</f>
        <v>0</v>
      </c>
      <c r="E171" s="11"/>
      <c r="F171" s="1">
        <f>Table135[[#This Row],[Box]]-Table135[[#This Row],[Order]]</f>
        <v>0</v>
      </c>
    </row>
    <row r="172" spans="1:6" x14ac:dyDescent="0.25">
      <c r="A172" s="1" t="s">
        <v>346</v>
      </c>
      <c r="B172" s="1" t="s">
        <v>347</v>
      </c>
      <c r="C172" s="1">
        <f>VLOOKUP(Table135[[#This Row],[Code]],'Main Storage'!A:D,3,0)</f>
        <v>677</v>
      </c>
      <c r="D172" s="1">
        <f>VLOOKUP(Table135[[#This Row],[Code]],Iowa!A:F,6,0)</f>
        <v>5</v>
      </c>
      <c r="E172" s="11"/>
      <c r="F172" s="1">
        <f>Table135[[#This Row],[Box]]-Table135[[#This Row],[Order]]</f>
        <v>5</v>
      </c>
    </row>
    <row r="173" spans="1:6" x14ac:dyDescent="0.25">
      <c r="A173" s="1" t="s">
        <v>348</v>
      </c>
      <c r="B173" s="1" t="s">
        <v>349</v>
      </c>
      <c r="C173" s="1">
        <f>VLOOKUP(Table135[[#This Row],[Code]],'Main Storage'!A:D,3,0)</f>
        <v>1304</v>
      </c>
      <c r="D173" s="1">
        <f>VLOOKUP(Table135[[#This Row],[Code]],Iowa!A:F,6,0)</f>
        <v>10</v>
      </c>
      <c r="E173" s="11"/>
      <c r="F173" s="1">
        <f>Table135[[#This Row],[Box]]-Table135[[#This Row],[Order]]</f>
        <v>10</v>
      </c>
    </row>
    <row r="174" spans="1:6" x14ac:dyDescent="0.25">
      <c r="A174" s="1" t="s">
        <v>350</v>
      </c>
      <c r="B174" s="1" t="s">
        <v>351</v>
      </c>
      <c r="C174" s="1">
        <f>VLOOKUP(Table135[[#This Row],[Code]],'Main Storage'!A:D,3,0)</f>
        <v>929</v>
      </c>
      <c r="D174" s="1">
        <f>VLOOKUP(Table135[[#This Row],[Code]],Iowa!A:F,6,0)</f>
        <v>7</v>
      </c>
      <c r="E174" s="11"/>
      <c r="F174" s="1">
        <f>Table135[[#This Row],[Box]]-Table135[[#This Row],[Order]]</f>
        <v>7</v>
      </c>
    </row>
    <row r="175" spans="1:6" x14ac:dyDescent="0.25">
      <c r="A175" s="1" t="s">
        <v>352</v>
      </c>
      <c r="B175" s="1" t="s">
        <v>353</v>
      </c>
      <c r="C175" s="1">
        <f>VLOOKUP(Table135[[#This Row],[Code]],'Main Storage'!A:D,3,0)</f>
        <v>615</v>
      </c>
      <c r="D175" s="1">
        <f>VLOOKUP(Table135[[#This Row],[Code]],Iowa!A:F,6,0)</f>
        <v>5</v>
      </c>
      <c r="E175" s="11"/>
      <c r="F175" s="1">
        <f>Table135[[#This Row],[Box]]-Table135[[#This Row],[Order]]</f>
        <v>5</v>
      </c>
    </row>
    <row r="176" spans="1:6" x14ac:dyDescent="0.25">
      <c r="A176" s="1" t="s">
        <v>354</v>
      </c>
      <c r="B176" s="1" t="s">
        <v>355</v>
      </c>
      <c r="C176" s="1">
        <f>VLOOKUP(Table135[[#This Row],[Code]],'Main Storage'!A:D,3,0)</f>
        <v>547</v>
      </c>
      <c r="D176" s="1">
        <f>VLOOKUP(Table135[[#This Row],[Code]],Iowa!A:F,6,0)</f>
        <v>4</v>
      </c>
      <c r="E176" s="11"/>
      <c r="F176" s="1">
        <f>Table135[[#This Row],[Box]]-Table135[[#This Row],[Order]]</f>
        <v>4</v>
      </c>
    </row>
    <row r="177" spans="1:6" x14ac:dyDescent="0.25">
      <c r="A177" s="1" t="s">
        <v>356</v>
      </c>
      <c r="B177" s="1" t="s">
        <v>357</v>
      </c>
      <c r="C177" s="1">
        <f>VLOOKUP(Table135[[#This Row],[Code]],'Main Storage'!A:D,3,0)</f>
        <v>481</v>
      </c>
      <c r="D177" s="1">
        <f>VLOOKUP(Table135[[#This Row],[Code]],Iowa!A:F,6,0)</f>
        <v>4</v>
      </c>
      <c r="E177" s="11"/>
      <c r="F177" s="1">
        <f>Table135[[#This Row],[Box]]-Table135[[#This Row],[Order]]</f>
        <v>4</v>
      </c>
    </row>
    <row r="178" spans="1:6" x14ac:dyDescent="0.25">
      <c r="A178" s="1" t="s">
        <v>358</v>
      </c>
      <c r="B178" s="1" t="s">
        <v>359</v>
      </c>
      <c r="C178" s="1">
        <f>VLOOKUP(Table135[[#This Row],[Code]],'Main Storage'!A:D,3,0)</f>
        <v>1371</v>
      </c>
      <c r="D178" s="1">
        <f>VLOOKUP(Table135[[#This Row],[Code]],Iowa!A:F,6,0)</f>
        <v>11</v>
      </c>
      <c r="E178" s="11"/>
      <c r="F178" s="1">
        <f>Table135[[#This Row],[Box]]-Table135[[#This Row],[Order]]</f>
        <v>11</v>
      </c>
    </row>
    <row r="179" spans="1:6" x14ac:dyDescent="0.25">
      <c r="A179" s="1" t="s">
        <v>360</v>
      </c>
      <c r="B179" s="1" t="s">
        <v>361</v>
      </c>
      <c r="C179" s="1">
        <f>VLOOKUP(Table135[[#This Row],[Code]],'Main Storage'!A:D,3,0)</f>
        <v>944</v>
      </c>
      <c r="D179" s="1">
        <f>VLOOKUP(Table135[[#This Row],[Code]],Iowa!A:F,6,0)</f>
        <v>7</v>
      </c>
      <c r="E179" s="11"/>
      <c r="F179" s="1">
        <f>Table135[[#This Row],[Box]]-Table135[[#This Row],[Order]]</f>
        <v>7</v>
      </c>
    </row>
    <row r="180" spans="1:6" x14ac:dyDescent="0.25">
      <c r="A180" s="1" t="s">
        <v>362</v>
      </c>
      <c r="B180" s="1" t="s">
        <v>363</v>
      </c>
      <c r="C180" s="1">
        <f>VLOOKUP(Table135[[#This Row],[Code]],'Main Storage'!A:D,3,0)</f>
        <v>985</v>
      </c>
      <c r="D180" s="1">
        <f>VLOOKUP(Table135[[#This Row],[Code]],Iowa!A:F,6,0)</f>
        <v>8</v>
      </c>
      <c r="E180" s="11"/>
      <c r="F180" s="1">
        <f>Table135[[#This Row],[Box]]-Table135[[#This Row],[Order]]</f>
        <v>8</v>
      </c>
    </row>
    <row r="181" spans="1:6" x14ac:dyDescent="0.25">
      <c r="A181" s="1" t="s">
        <v>364</v>
      </c>
      <c r="B181" s="1" t="s">
        <v>365</v>
      </c>
      <c r="C181" s="1">
        <f>VLOOKUP(Table135[[#This Row],[Code]],'Main Storage'!A:D,3,0)</f>
        <v>1374</v>
      </c>
      <c r="D181" s="1">
        <f>VLOOKUP(Table135[[#This Row],[Code]],Iowa!A:F,6,0)</f>
        <v>11</v>
      </c>
      <c r="E181" s="11"/>
      <c r="F181" s="1">
        <f>Table135[[#This Row],[Box]]-Table135[[#This Row],[Order]]</f>
        <v>11</v>
      </c>
    </row>
    <row r="182" spans="1:6" x14ac:dyDescent="0.25">
      <c r="A182" s="1" t="s">
        <v>366</v>
      </c>
      <c r="B182" s="1" t="s">
        <v>367</v>
      </c>
      <c r="C182" s="1">
        <f>VLOOKUP(Table135[[#This Row],[Code]],'Main Storage'!A:D,3,0)</f>
        <v>326</v>
      </c>
      <c r="D182" s="1">
        <f>VLOOKUP(Table135[[#This Row],[Code]],Iowa!A:F,6,0)</f>
        <v>2</v>
      </c>
      <c r="E182" s="11"/>
      <c r="F182" s="1">
        <f>Table135[[#This Row],[Box]]-Table135[[#This Row],[Order]]</f>
        <v>2</v>
      </c>
    </row>
    <row r="183" spans="1:6" x14ac:dyDescent="0.25">
      <c r="A183" s="1" t="s">
        <v>368</v>
      </c>
      <c r="B183" s="1" t="s">
        <v>369</v>
      </c>
      <c r="C183" s="1">
        <f>VLOOKUP(Table135[[#This Row],[Code]],'Main Storage'!A:D,3,0)</f>
        <v>1218</v>
      </c>
      <c r="D183" s="1">
        <f>VLOOKUP(Table135[[#This Row],[Code]],Iowa!A:F,6,0)</f>
        <v>10</v>
      </c>
      <c r="E183" s="11"/>
      <c r="F183" s="1">
        <f>Table135[[#This Row],[Box]]-Table135[[#This Row],[Order]]</f>
        <v>10</v>
      </c>
    </row>
    <row r="184" spans="1:6" x14ac:dyDescent="0.25">
      <c r="A184" s="1" t="s">
        <v>370</v>
      </c>
      <c r="B184" s="1" t="s">
        <v>371</v>
      </c>
      <c r="C184" s="1">
        <f>VLOOKUP(Table135[[#This Row],[Code]],'Main Storage'!A:D,3,0)</f>
        <v>1121</v>
      </c>
      <c r="D184" s="1">
        <f>VLOOKUP(Table135[[#This Row],[Code]],Iowa!A:F,6,0)</f>
        <v>9</v>
      </c>
      <c r="E184" s="11"/>
      <c r="F184" s="1">
        <f>Table135[[#This Row],[Box]]-Table135[[#This Row],[Order]]</f>
        <v>9</v>
      </c>
    </row>
    <row r="185" spans="1:6" x14ac:dyDescent="0.25">
      <c r="A185" s="1" t="s">
        <v>372</v>
      </c>
      <c r="B185" s="1" t="s">
        <v>373</v>
      </c>
      <c r="C185" s="1">
        <f>VLOOKUP(Table135[[#This Row],[Code]],'Main Storage'!A:D,3,0)</f>
        <v>1192</v>
      </c>
      <c r="D185" s="1">
        <f>VLOOKUP(Table135[[#This Row],[Code]],Iowa!A:F,6,0)</f>
        <v>9</v>
      </c>
      <c r="E185" s="11"/>
      <c r="F185" s="1">
        <f>Table135[[#This Row],[Box]]-Table135[[#This Row],[Order]]</f>
        <v>9</v>
      </c>
    </row>
    <row r="186" spans="1:6" x14ac:dyDescent="0.25">
      <c r="A186" s="1" t="s">
        <v>374</v>
      </c>
      <c r="B186" s="1" t="s">
        <v>375</v>
      </c>
      <c r="C186" s="1">
        <f>VLOOKUP(Table135[[#This Row],[Code]],'Main Storage'!A:D,3,0)</f>
        <v>945</v>
      </c>
      <c r="D186" s="1">
        <f>VLOOKUP(Table135[[#This Row],[Code]],Iowa!A:F,6,0)</f>
        <v>7</v>
      </c>
      <c r="E186" s="11"/>
      <c r="F186" s="1">
        <f>Table135[[#This Row],[Box]]-Table135[[#This Row],[Order]]</f>
        <v>7</v>
      </c>
    </row>
    <row r="187" spans="1:6" x14ac:dyDescent="0.25">
      <c r="A187" s="1" t="s">
        <v>376</v>
      </c>
      <c r="B187" s="1" t="s">
        <v>377</v>
      </c>
      <c r="C187" s="1">
        <f>VLOOKUP(Table135[[#This Row],[Code]],'Main Storage'!A:D,3,0)</f>
        <v>1319</v>
      </c>
      <c r="D187" s="1">
        <f>VLOOKUP(Table135[[#This Row],[Code]],Iowa!A:F,6,0)</f>
        <v>10</v>
      </c>
      <c r="E187" s="11"/>
      <c r="F187" s="1">
        <f>Table135[[#This Row],[Box]]-Table135[[#This Row],[Order]]</f>
        <v>10</v>
      </c>
    </row>
    <row r="188" spans="1:6" x14ac:dyDescent="0.25">
      <c r="A188" s="1" t="s">
        <v>378</v>
      </c>
      <c r="B188" s="1" t="s">
        <v>379</v>
      </c>
      <c r="C188" s="1">
        <f>VLOOKUP(Table135[[#This Row],[Code]],'Main Storage'!A:D,3,0)</f>
        <v>1253</v>
      </c>
      <c r="D188" s="1">
        <f>VLOOKUP(Table135[[#This Row],[Code]],Iowa!A:F,6,0)</f>
        <v>10</v>
      </c>
      <c r="E188" s="11"/>
      <c r="F188" s="1">
        <f>Table135[[#This Row],[Box]]-Table135[[#This Row],[Order]]</f>
        <v>10</v>
      </c>
    </row>
    <row r="189" spans="1:6" x14ac:dyDescent="0.25">
      <c r="A189" s="1" t="s">
        <v>380</v>
      </c>
      <c r="B189" s="1" t="s">
        <v>381</v>
      </c>
      <c r="C189" s="1">
        <f>VLOOKUP(Table135[[#This Row],[Code]],'Main Storage'!A:D,3,0)</f>
        <v>326</v>
      </c>
      <c r="D189" s="1">
        <f>VLOOKUP(Table135[[#This Row],[Code]],Iowa!A:F,6,0)</f>
        <v>2</v>
      </c>
      <c r="E189" s="11"/>
      <c r="F189" s="1">
        <f>Table135[[#This Row],[Box]]-Table135[[#This Row],[Order]]</f>
        <v>2</v>
      </c>
    </row>
    <row r="190" spans="1:6" x14ac:dyDescent="0.25">
      <c r="A190" s="1" t="s">
        <v>382</v>
      </c>
      <c r="B190" s="1" t="s">
        <v>383</v>
      </c>
      <c r="C190" s="1">
        <f>VLOOKUP(Table135[[#This Row],[Code]],'Main Storage'!A:D,3,0)</f>
        <v>1285</v>
      </c>
      <c r="D190" s="1">
        <f>VLOOKUP(Table135[[#This Row],[Code]],Iowa!A:F,6,0)</f>
        <v>10</v>
      </c>
      <c r="E190" s="11"/>
      <c r="F190" s="1">
        <f>Table135[[#This Row],[Box]]-Table135[[#This Row],[Order]]</f>
        <v>10</v>
      </c>
    </row>
    <row r="191" spans="1:6" x14ac:dyDescent="0.25">
      <c r="A191" s="1" t="s">
        <v>384</v>
      </c>
      <c r="B191" s="1" t="s">
        <v>385</v>
      </c>
      <c r="C191" s="1">
        <f>VLOOKUP(Table135[[#This Row],[Code]],'Main Storage'!A:D,3,0)</f>
        <v>1221</v>
      </c>
      <c r="D191" s="1">
        <f>VLOOKUP(Table135[[#This Row],[Code]],Iowa!A:F,6,0)</f>
        <v>10</v>
      </c>
      <c r="E191" s="11"/>
      <c r="F191" s="1">
        <f>Table135[[#This Row],[Box]]-Table135[[#This Row],[Order]]</f>
        <v>10</v>
      </c>
    </row>
    <row r="192" spans="1:6" x14ac:dyDescent="0.25">
      <c r="A192" s="1" t="s">
        <v>386</v>
      </c>
      <c r="B192" s="1" t="s">
        <v>387</v>
      </c>
      <c r="C192" s="1">
        <f>VLOOKUP(Table135[[#This Row],[Code]],'Main Storage'!A:D,3,0)</f>
        <v>83</v>
      </c>
      <c r="D192" s="1">
        <f>VLOOKUP(Table135[[#This Row],[Code]],Iowa!A:F,6,0)</f>
        <v>0</v>
      </c>
      <c r="E192" s="11"/>
      <c r="F192" s="1">
        <f>Table135[[#This Row],[Box]]-Table135[[#This Row],[Order]]</f>
        <v>0</v>
      </c>
    </row>
    <row r="193" spans="1:6" x14ac:dyDescent="0.25">
      <c r="A193" s="1" t="s">
        <v>388</v>
      </c>
      <c r="B193" s="1" t="s">
        <v>389</v>
      </c>
      <c r="C193" s="1">
        <f>VLOOKUP(Table135[[#This Row],[Code]],'Main Storage'!A:D,3,0)</f>
        <v>1436</v>
      </c>
      <c r="D193" s="1">
        <f>VLOOKUP(Table135[[#This Row],[Code]],Iowa!A:F,6,0)</f>
        <v>17</v>
      </c>
      <c r="E193" s="11"/>
      <c r="F193" s="1">
        <f>Table135[[#This Row],[Box]]-Table135[[#This Row],[Order]]</f>
        <v>17</v>
      </c>
    </row>
    <row r="194" spans="1:6" x14ac:dyDescent="0.25">
      <c r="A194" s="1" t="s">
        <v>390</v>
      </c>
      <c r="B194" s="1" t="s">
        <v>391</v>
      </c>
      <c r="C194" s="1">
        <f>VLOOKUP(Table135[[#This Row],[Code]],'Main Storage'!A:D,3,0)</f>
        <v>249</v>
      </c>
      <c r="D194" s="1">
        <f>VLOOKUP(Table135[[#This Row],[Code]],Iowa!A:F,6,0)</f>
        <v>3</v>
      </c>
      <c r="E194" s="11"/>
      <c r="F194" s="1">
        <f>Table135[[#This Row],[Box]]-Table135[[#This Row],[Order]]</f>
        <v>3</v>
      </c>
    </row>
    <row r="195" spans="1:6" x14ac:dyDescent="0.25">
      <c r="A195" s="1" t="s">
        <v>392</v>
      </c>
      <c r="B195" s="1" t="s">
        <v>393</v>
      </c>
      <c r="C195" s="1">
        <f>VLOOKUP(Table135[[#This Row],[Code]],'Main Storage'!A:D,3,0)</f>
        <v>260</v>
      </c>
      <c r="D195" s="1">
        <f>VLOOKUP(Table135[[#This Row],[Code]],Iowa!A:F,6,0)</f>
        <v>3</v>
      </c>
      <c r="E195" s="11"/>
      <c r="F195" s="1">
        <f>Table135[[#This Row],[Box]]-Table135[[#This Row],[Order]]</f>
        <v>3</v>
      </c>
    </row>
    <row r="196" spans="1:6" x14ac:dyDescent="0.25">
      <c r="A196" s="1" t="s">
        <v>394</v>
      </c>
      <c r="B196" s="1" t="s">
        <v>395</v>
      </c>
      <c r="C196" s="1">
        <f>VLOOKUP(Table135[[#This Row],[Code]],'Main Storage'!A:D,3,0)</f>
        <v>337</v>
      </c>
      <c r="D196" s="1">
        <f>VLOOKUP(Table135[[#This Row],[Code]],Iowa!A:F,6,0)</f>
        <v>4</v>
      </c>
      <c r="E196" s="11"/>
      <c r="F196" s="1">
        <f>Table135[[#This Row],[Box]]-Table135[[#This Row],[Order]]</f>
        <v>4</v>
      </c>
    </row>
    <row r="197" spans="1:6" x14ac:dyDescent="0.25">
      <c r="A197" s="1" t="s">
        <v>396</v>
      </c>
      <c r="B197" s="1" t="s">
        <v>397</v>
      </c>
      <c r="C197" s="1">
        <f>VLOOKUP(Table135[[#This Row],[Code]],'Main Storage'!A:D,3,0)</f>
        <v>895</v>
      </c>
      <c r="D197" s="1">
        <f>VLOOKUP(Table135[[#This Row],[Code]],Iowa!A:F,6,0)</f>
        <v>11</v>
      </c>
      <c r="E197" s="11"/>
      <c r="F197" s="1">
        <f>Table135[[#This Row],[Box]]-Table135[[#This Row],[Order]]</f>
        <v>11</v>
      </c>
    </row>
    <row r="198" spans="1:6" x14ac:dyDescent="0.25">
      <c r="A198" s="1" t="s">
        <v>398</v>
      </c>
      <c r="B198" s="1" t="s">
        <v>399</v>
      </c>
      <c r="C198" s="1">
        <f>VLOOKUP(Table135[[#This Row],[Code]],'Main Storage'!A:D,3,0)</f>
        <v>853</v>
      </c>
      <c r="D198" s="1">
        <f>VLOOKUP(Table135[[#This Row],[Code]],Iowa!A:F,6,0)</f>
        <v>10</v>
      </c>
      <c r="E198" s="11"/>
      <c r="F198" s="1">
        <f>Table135[[#This Row],[Box]]-Table135[[#This Row],[Order]]</f>
        <v>10</v>
      </c>
    </row>
    <row r="199" spans="1:6" x14ac:dyDescent="0.25">
      <c r="A199" s="1" t="s">
        <v>400</v>
      </c>
      <c r="B199" s="1" t="s">
        <v>401</v>
      </c>
      <c r="C199" s="1">
        <f>VLOOKUP(Table135[[#This Row],[Code]],'Main Storage'!A:D,3,0)</f>
        <v>551</v>
      </c>
      <c r="D199" s="1">
        <f>VLOOKUP(Table135[[#This Row],[Code]],Iowa!A:F,6,0)</f>
        <v>6</v>
      </c>
      <c r="E199" s="11"/>
      <c r="F199" s="1">
        <f>Table135[[#This Row],[Box]]-Table135[[#This Row],[Order]]</f>
        <v>6</v>
      </c>
    </row>
    <row r="200" spans="1:6" x14ac:dyDescent="0.25">
      <c r="A200" s="1" t="s">
        <v>402</v>
      </c>
      <c r="B200" s="1" t="s">
        <v>403</v>
      </c>
      <c r="C200" s="1">
        <f>VLOOKUP(Table135[[#This Row],[Code]],'Main Storage'!A:D,3,0)</f>
        <v>425</v>
      </c>
      <c r="D200" s="1">
        <f>VLOOKUP(Table135[[#This Row],[Code]],Iowa!A:F,6,0)</f>
        <v>5</v>
      </c>
      <c r="E200" s="11"/>
      <c r="F200" s="1">
        <f>Table135[[#This Row],[Box]]-Table135[[#This Row],[Order]]</f>
        <v>5</v>
      </c>
    </row>
    <row r="201" spans="1:6" x14ac:dyDescent="0.25">
      <c r="A201" s="1" t="s">
        <v>404</v>
      </c>
      <c r="B201" s="1" t="s">
        <v>405</v>
      </c>
      <c r="C201" s="1">
        <f>VLOOKUP(Table135[[#This Row],[Code]],'Main Storage'!A:D,3,0)</f>
        <v>981</v>
      </c>
      <c r="D201" s="1">
        <f>VLOOKUP(Table135[[#This Row],[Code]],Iowa!A:F,6,0)</f>
        <v>12</v>
      </c>
      <c r="E201" s="11"/>
      <c r="F201" s="1">
        <f>Table135[[#This Row],[Box]]-Table135[[#This Row],[Order]]</f>
        <v>12</v>
      </c>
    </row>
    <row r="202" spans="1:6" x14ac:dyDescent="0.25">
      <c r="A202" s="1" t="s">
        <v>406</v>
      </c>
      <c r="B202" s="1" t="s">
        <v>407</v>
      </c>
      <c r="C202" s="1">
        <f>VLOOKUP(Table135[[#This Row],[Code]],'Main Storage'!A:D,3,0)</f>
        <v>922</v>
      </c>
      <c r="D202" s="1">
        <f>VLOOKUP(Table135[[#This Row],[Code]],Iowa!A:F,6,0)</f>
        <v>11</v>
      </c>
      <c r="E202" s="11"/>
      <c r="F202" s="1">
        <f>Table135[[#This Row],[Box]]-Table135[[#This Row],[Order]]</f>
        <v>11</v>
      </c>
    </row>
    <row r="203" spans="1:6" x14ac:dyDescent="0.25">
      <c r="A203" s="1" t="s">
        <v>408</v>
      </c>
      <c r="B203" s="1" t="s">
        <v>409</v>
      </c>
      <c r="C203" s="1">
        <f>VLOOKUP(Table135[[#This Row],[Code]],'Main Storage'!A:D,3,0)</f>
        <v>515</v>
      </c>
      <c r="D203" s="1">
        <f>VLOOKUP(Table135[[#This Row],[Code]],Iowa!A:F,6,0)</f>
        <v>6</v>
      </c>
      <c r="E203" s="11"/>
      <c r="F203" s="1">
        <f>Table135[[#This Row],[Box]]-Table135[[#This Row],[Order]]</f>
        <v>6</v>
      </c>
    </row>
    <row r="204" spans="1:6" x14ac:dyDescent="0.25">
      <c r="A204" s="1" t="s">
        <v>410</v>
      </c>
      <c r="B204" s="1" t="s">
        <v>411</v>
      </c>
      <c r="C204" s="1">
        <f>VLOOKUP(Table135[[#This Row],[Code]],'Main Storage'!A:D,3,0)</f>
        <v>965</v>
      </c>
      <c r="D204" s="1">
        <f>VLOOKUP(Table135[[#This Row],[Code]],Iowa!A:F,6,0)</f>
        <v>12</v>
      </c>
      <c r="E204" s="11"/>
      <c r="F204" s="1">
        <f>Table135[[#This Row],[Box]]-Table135[[#This Row],[Order]]</f>
        <v>12</v>
      </c>
    </row>
    <row r="205" spans="1:6" x14ac:dyDescent="0.25">
      <c r="A205" s="1" t="s">
        <v>412</v>
      </c>
      <c r="B205" s="1" t="s">
        <v>413</v>
      </c>
      <c r="C205" s="1">
        <f>VLOOKUP(Table135[[#This Row],[Code]],'Main Storage'!A:D,3,0)</f>
        <v>1494</v>
      </c>
      <c r="D205" s="1">
        <f>VLOOKUP(Table135[[#This Row],[Code]],Iowa!A:F,6,0)</f>
        <v>18</v>
      </c>
      <c r="E205" s="11"/>
      <c r="F205" s="1">
        <f>Table135[[#This Row],[Box]]-Table135[[#This Row],[Order]]</f>
        <v>18</v>
      </c>
    </row>
    <row r="206" spans="1:6" x14ac:dyDescent="0.25">
      <c r="A206" s="1" t="s">
        <v>414</v>
      </c>
      <c r="B206" s="1" t="s">
        <v>415</v>
      </c>
      <c r="C206" s="1">
        <f>VLOOKUP(Table135[[#This Row],[Code]],'Main Storage'!A:D,3,0)</f>
        <v>450</v>
      </c>
      <c r="D206" s="1">
        <f>VLOOKUP(Table135[[#This Row],[Code]],Iowa!A:F,6,0)</f>
        <v>5</v>
      </c>
      <c r="E206" s="11"/>
      <c r="F206" s="1">
        <f>Table135[[#This Row],[Box]]-Table135[[#This Row],[Order]]</f>
        <v>5</v>
      </c>
    </row>
    <row r="207" spans="1:6" x14ac:dyDescent="0.25">
      <c r="A207" s="1" t="s">
        <v>416</v>
      </c>
      <c r="B207" s="1" t="s">
        <v>417</v>
      </c>
      <c r="C207" s="1">
        <f>VLOOKUP(Table135[[#This Row],[Code]],'Main Storage'!A:D,3,0)</f>
        <v>276</v>
      </c>
      <c r="D207" s="1">
        <f>VLOOKUP(Table135[[#This Row],[Code]],Iowa!A:F,6,0)</f>
        <v>3</v>
      </c>
      <c r="E207" s="11"/>
      <c r="F207" s="1">
        <f>Table135[[#This Row],[Box]]-Table135[[#This Row],[Order]]</f>
        <v>3</v>
      </c>
    </row>
    <row r="208" spans="1:6" x14ac:dyDescent="0.25">
      <c r="A208" s="1" t="s">
        <v>418</v>
      </c>
      <c r="B208" s="1" t="s">
        <v>419</v>
      </c>
      <c r="C208" s="1">
        <f>VLOOKUP(Table135[[#This Row],[Code]],'Main Storage'!A:D,3,0)</f>
        <v>189</v>
      </c>
      <c r="D208" s="1">
        <f>VLOOKUP(Table135[[#This Row],[Code]],Iowa!A:F,6,0)</f>
        <v>2</v>
      </c>
      <c r="E208" s="11"/>
      <c r="F208" s="1">
        <f>Table135[[#This Row],[Box]]-Table135[[#This Row],[Order]]</f>
        <v>2</v>
      </c>
    </row>
    <row r="209" spans="1:6" x14ac:dyDescent="0.25">
      <c r="A209" s="1" t="s">
        <v>420</v>
      </c>
      <c r="B209" s="1" t="s">
        <v>421</v>
      </c>
      <c r="C209" s="1">
        <f>VLOOKUP(Table135[[#This Row],[Code]],'Main Storage'!A:D,3,0)</f>
        <v>871</v>
      </c>
      <c r="D209" s="1">
        <f>VLOOKUP(Table135[[#This Row],[Code]],Iowa!A:F,6,0)</f>
        <v>10</v>
      </c>
      <c r="E209" s="11"/>
      <c r="F209" s="1">
        <f>Table135[[#This Row],[Box]]-Table135[[#This Row],[Order]]</f>
        <v>10</v>
      </c>
    </row>
    <row r="210" spans="1:6" x14ac:dyDescent="0.25">
      <c r="A210" s="1" t="s">
        <v>422</v>
      </c>
      <c r="B210" s="1" t="s">
        <v>423</v>
      </c>
      <c r="C210" s="1">
        <f>VLOOKUP(Table135[[#This Row],[Code]],'Main Storage'!A:D,3,0)</f>
        <v>55</v>
      </c>
      <c r="D210" s="1">
        <f>VLOOKUP(Table135[[#This Row],[Code]],Iowa!A:F,6,0)</f>
        <v>0</v>
      </c>
      <c r="E210" s="11"/>
      <c r="F210" s="1">
        <f>Table135[[#This Row],[Box]]-Table135[[#This Row],[Order]]</f>
        <v>0</v>
      </c>
    </row>
    <row r="211" spans="1:6" x14ac:dyDescent="0.25">
      <c r="A211" s="1" t="s">
        <v>427</v>
      </c>
      <c r="C211" s="1">
        <f>VLOOKUP(Table135[[#This Row],[Code]],'Main Storage'!A:D,3,0)</f>
        <v>155010</v>
      </c>
      <c r="D211" s="1">
        <f>VLOOKUP(Table135[[#This Row],[Code]],Iowa!A:F,6,0)</f>
        <v>10</v>
      </c>
      <c r="E211" s="11"/>
      <c r="F211" s="1">
        <f>Table135[[#This Row],[Box]]-Table135[[#This Row],[Order]]</f>
        <v>10</v>
      </c>
    </row>
  </sheetData>
  <dataValidations count="1">
    <dataValidation type="whole" allowBlank="1" showInputMessage="1" showErrorMessage="1" errorTitle="Enter Number" error="Just Number between 0 to BOX column" promptTitle="Enter Number" prompt="Just Number between 0 to BOX column" sqref="E2:E211" xr:uid="{2C58F53B-E22F-41F1-BEE9-78E03F676936}">
      <formula1>0</formula1>
      <formula2>D2</formula2>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0E14F-C547-444A-9FE7-16917F1ED6A5}">
  <dimension ref="A1:F211"/>
  <sheetViews>
    <sheetView workbookViewId="0">
      <selection sqref="A1:XFD1048576"/>
    </sheetView>
  </sheetViews>
  <sheetFormatPr defaultRowHeight="15" x14ac:dyDescent="0.25"/>
  <cols>
    <col min="1" max="2" width="9.140625" style="1"/>
    <col min="3" max="3" width="18.28515625" style="1" customWidth="1"/>
    <col min="4" max="16384" width="9.140625" style="1"/>
  </cols>
  <sheetData>
    <row r="1" spans="1:6" x14ac:dyDescent="0.25">
      <c r="A1" s="1" t="s">
        <v>2</v>
      </c>
      <c r="B1" s="1" t="s">
        <v>1</v>
      </c>
      <c r="C1" s="1" t="s">
        <v>428</v>
      </c>
      <c r="D1" s="1" t="s">
        <v>429</v>
      </c>
      <c r="E1" s="1" t="s">
        <v>430</v>
      </c>
      <c r="F1" s="1" t="s">
        <v>431</v>
      </c>
    </row>
    <row r="2" spans="1:6" x14ac:dyDescent="0.25">
      <c r="A2" s="1" t="s">
        <v>3</v>
      </c>
      <c r="B2" s="1" t="s">
        <v>4</v>
      </c>
      <c r="C2" s="1">
        <f>VLOOKUP(Table136[[#This Row],[Code]],'Main Storage'!A:D,3,0)</f>
        <v>754</v>
      </c>
      <c r="D2" s="1">
        <f>VLOOKUP(Table136[[#This Row],[Code]],Maine!A:F,6,0)</f>
        <v>62</v>
      </c>
      <c r="E2" s="11"/>
      <c r="F2" s="1">
        <f>Table136[[#This Row],[Box]]-Table136[[#This Row],[Order]]</f>
        <v>62</v>
      </c>
    </row>
    <row r="3" spans="1:6" x14ac:dyDescent="0.25">
      <c r="A3" s="1" t="s">
        <v>6</v>
      </c>
      <c r="B3" s="1" t="s">
        <v>54</v>
      </c>
      <c r="C3" s="1">
        <f>VLOOKUP(Table136[[#This Row],[Code]],'Main Storage'!A:D,3,0)</f>
        <v>1440</v>
      </c>
      <c r="D3" s="1">
        <f>VLOOKUP(Table136[[#This Row],[Code]],Maine!A:F,6,0)</f>
        <v>90</v>
      </c>
      <c r="E3" s="11"/>
      <c r="F3" s="1">
        <f>Table136[[#This Row],[Box]]-Table136[[#This Row],[Order]]</f>
        <v>90</v>
      </c>
    </row>
    <row r="4" spans="1:6" x14ac:dyDescent="0.25">
      <c r="A4" s="1" t="s">
        <v>7</v>
      </c>
      <c r="B4" s="1" t="s">
        <v>55</v>
      </c>
      <c r="C4" s="1">
        <f>VLOOKUP(Table136[[#This Row],[Code]],'Main Storage'!A:D,3,0)</f>
        <v>1383</v>
      </c>
      <c r="D4" s="1">
        <f>VLOOKUP(Table136[[#This Row],[Code]],Maine!A:F,6,0)</f>
        <v>115</v>
      </c>
      <c r="E4" s="11"/>
      <c r="F4" s="1">
        <f>Table136[[#This Row],[Box]]-Table136[[#This Row],[Order]]</f>
        <v>115</v>
      </c>
    </row>
    <row r="5" spans="1:6" x14ac:dyDescent="0.25">
      <c r="A5" s="1" t="s">
        <v>8</v>
      </c>
      <c r="B5" s="1" t="s">
        <v>56</v>
      </c>
      <c r="C5" s="1">
        <f>VLOOKUP(Table136[[#This Row],[Code]],'Main Storage'!A:D,3,0)</f>
        <v>1376</v>
      </c>
      <c r="D5" s="1">
        <f>VLOOKUP(Table136[[#This Row],[Code]],Maine!A:F,6,0)</f>
        <v>114</v>
      </c>
      <c r="E5" s="11"/>
      <c r="F5" s="1">
        <f>Table136[[#This Row],[Box]]-Table136[[#This Row],[Order]]</f>
        <v>114</v>
      </c>
    </row>
    <row r="6" spans="1:6" x14ac:dyDescent="0.25">
      <c r="A6" s="1" t="s">
        <v>9</v>
      </c>
      <c r="B6" s="1" t="s">
        <v>57</v>
      </c>
      <c r="C6" s="1">
        <f>VLOOKUP(Table136[[#This Row],[Code]],'Main Storage'!A:D,3,0)</f>
        <v>826</v>
      </c>
      <c r="D6" s="1">
        <f>VLOOKUP(Table136[[#This Row],[Code]],Maine!A:F,6,0)</f>
        <v>68</v>
      </c>
      <c r="E6" s="11"/>
      <c r="F6" s="1">
        <f>Table136[[#This Row],[Box]]-Table136[[#This Row],[Order]]</f>
        <v>68</v>
      </c>
    </row>
    <row r="7" spans="1:6" x14ac:dyDescent="0.25">
      <c r="A7" s="1" t="s">
        <v>10</v>
      </c>
      <c r="B7" s="1" t="s">
        <v>58</v>
      </c>
      <c r="C7" s="1">
        <f>VLOOKUP(Table136[[#This Row],[Code]],'Main Storage'!A:D,3,0)</f>
        <v>939</v>
      </c>
      <c r="D7" s="1">
        <f>VLOOKUP(Table136[[#This Row],[Code]],Maine!A:F,6,0)</f>
        <v>78</v>
      </c>
      <c r="E7" s="11"/>
      <c r="F7" s="1">
        <f>Table136[[#This Row],[Box]]-Table136[[#This Row],[Order]]</f>
        <v>78</v>
      </c>
    </row>
    <row r="8" spans="1:6" x14ac:dyDescent="0.25">
      <c r="A8" s="1" t="s">
        <v>11</v>
      </c>
      <c r="B8" s="1" t="s">
        <v>59</v>
      </c>
      <c r="C8" s="1">
        <f>VLOOKUP(Table136[[#This Row],[Code]],'Main Storage'!A:D,3,0)</f>
        <v>908</v>
      </c>
      <c r="D8" s="1">
        <f>VLOOKUP(Table136[[#This Row],[Code]],Maine!A:F,6,0)</f>
        <v>75</v>
      </c>
      <c r="E8" s="11"/>
      <c r="F8" s="1">
        <f>Table136[[#This Row],[Box]]-Table136[[#This Row],[Order]]</f>
        <v>75</v>
      </c>
    </row>
    <row r="9" spans="1:6" x14ac:dyDescent="0.25">
      <c r="A9" s="1" t="s">
        <v>12</v>
      </c>
      <c r="B9" s="1" t="s">
        <v>60</v>
      </c>
      <c r="C9" s="1">
        <f>VLOOKUP(Table136[[#This Row],[Code]],'Main Storage'!A:D,3,0)</f>
        <v>675</v>
      </c>
      <c r="D9" s="1">
        <f>VLOOKUP(Table136[[#This Row],[Code]],Maine!A:F,6,0)</f>
        <v>56</v>
      </c>
      <c r="E9" s="11"/>
      <c r="F9" s="1">
        <f>Table136[[#This Row],[Box]]-Table136[[#This Row],[Order]]</f>
        <v>56</v>
      </c>
    </row>
    <row r="10" spans="1:6" x14ac:dyDescent="0.25">
      <c r="A10" s="1" t="s">
        <v>13</v>
      </c>
      <c r="B10" s="1" t="s">
        <v>61</v>
      </c>
      <c r="C10" s="1">
        <f>VLOOKUP(Table136[[#This Row],[Code]],'Main Storage'!A:D,3,0)</f>
        <v>590</v>
      </c>
      <c r="D10" s="1">
        <f>VLOOKUP(Table136[[#This Row],[Code]],Maine!A:F,6,0)</f>
        <v>49</v>
      </c>
      <c r="E10" s="11"/>
      <c r="F10" s="1">
        <f>Table136[[#This Row],[Box]]-Table136[[#This Row],[Order]]</f>
        <v>49</v>
      </c>
    </row>
    <row r="11" spans="1:6" x14ac:dyDescent="0.25">
      <c r="A11" s="1" t="s">
        <v>14</v>
      </c>
      <c r="B11" s="1" t="s">
        <v>62</v>
      </c>
      <c r="C11" s="1">
        <f>VLOOKUP(Table136[[#This Row],[Code]],'Main Storage'!A:D,3,0)</f>
        <v>973</v>
      </c>
      <c r="D11" s="1">
        <f>VLOOKUP(Table136[[#This Row],[Code]],Maine!A:F,6,0)</f>
        <v>81</v>
      </c>
      <c r="E11" s="11"/>
      <c r="F11" s="1">
        <f>Table136[[#This Row],[Box]]-Table136[[#This Row],[Order]]</f>
        <v>81</v>
      </c>
    </row>
    <row r="12" spans="1:6" x14ac:dyDescent="0.25">
      <c r="A12" s="1" t="s">
        <v>15</v>
      </c>
      <c r="B12" s="1" t="s">
        <v>63</v>
      </c>
      <c r="C12" s="1">
        <f>VLOOKUP(Table136[[#This Row],[Code]],'Main Storage'!A:D,3,0)</f>
        <v>608</v>
      </c>
      <c r="D12" s="1">
        <f>VLOOKUP(Table136[[#This Row],[Code]],Maine!A:F,6,0)</f>
        <v>50</v>
      </c>
      <c r="E12" s="11"/>
      <c r="F12" s="1">
        <f>Table136[[#This Row],[Box]]-Table136[[#This Row],[Order]]</f>
        <v>50</v>
      </c>
    </row>
    <row r="13" spans="1:6" x14ac:dyDescent="0.25">
      <c r="A13" s="1" t="s">
        <v>16</v>
      </c>
      <c r="B13" s="1" t="s">
        <v>64</v>
      </c>
      <c r="C13" s="1">
        <f>VLOOKUP(Table136[[#This Row],[Code]],'Main Storage'!A:D,3,0)</f>
        <v>1191</v>
      </c>
      <c r="D13" s="1">
        <f>VLOOKUP(Table136[[#This Row],[Code]],Maine!A:F,6,0)</f>
        <v>99</v>
      </c>
      <c r="E13" s="11"/>
      <c r="F13" s="1">
        <f>Table136[[#This Row],[Box]]-Table136[[#This Row],[Order]]</f>
        <v>99</v>
      </c>
    </row>
    <row r="14" spans="1:6" x14ac:dyDescent="0.25">
      <c r="A14" s="1" t="s">
        <v>17</v>
      </c>
      <c r="B14" s="1" t="s">
        <v>65</v>
      </c>
      <c r="C14" s="1">
        <f>VLOOKUP(Table136[[#This Row],[Code]],'Main Storage'!A:D,3,0)</f>
        <v>336</v>
      </c>
      <c r="D14" s="1">
        <f>VLOOKUP(Table136[[#This Row],[Code]],Maine!A:F,6,0)</f>
        <v>28</v>
      </c>
      <c r="E14" s="11"/>
      <c r="F14" s="1">
        <f>Table136[[#This Row],[Box]]-Table136[[#This Row],[Order]]</f>
        <v>28</v>
      </c>
    </row>
    <row r="15" spans="1:6" x14ac:dyDescent="0.25">
      <c r="A15" s="1" t="s">
        <v>18</v>
      </c>
      <c r="B15" s="1" t="s">
        <v>66</v>
      </c>
      <c r="C15" s="1">
        <f>VLOOKUP(Table136[[#This Row],[Code]],'Main Storage'!A:D,3,0)</f>
        <v>98</v>
      </c>
      <c r="D15" s="1">
        <f>VLOOKUP(Table136[[#This Row],[Code]],Maine!A:F,6,0)</f>
        <v>8</v>
      </c>
      <c r="E15" s="11"/>
      <c r="F15" s="1">
        <f>Table136[[#This Row],[Box]]-Table136[[#This Row],[Order]]</f>
        <v>8</v>
      </c>
    </row>
    <row r="16" spans="1:6" x14ac:dyDescent="0.25">
      <c r="A16" s="1" t="s">
        <v>19</v>
      </c>
      <c r="B16" s="1" t="s">
        <v>67</v>
      </c>
      <c r="C16" s="1">
        <f>VLOOKUP(Table136[[#This Row],[Code]],'Main Storage'!A:D,3,0)</f>
        <v>145</v>
      </c>
      <c r="D16" s="1">
        <f>VLOOKUP(Table136[[#This Row],[Code]],Maine!A:F,6,0)</f>
        <v>12</v>
      </c>
      <c r="E16" s="11"/>
      <c r="F16" s="1">
        <f>Table136[[#This Row],[Box]]-Table136[[#This Row],[Order]]</f>
        <v>12</v>
      </c>
    </row>
    <row r="17" spans="1:6" x14ac:dyDescent="0.25">
      <c r="A17" s="1" t="s">
        <v>20</v>
      </c>
      <c r="B17" s="1" t="s">
        <v>68</v>
      </c>
      <c r="C17" s="1">
        <f>VLOOKUP(Table136[[#This Row],[Code]],'Main Storage'!A:D,3,0)</f>
        <v>823</v>
      </c>
      <c r="D17" s="1">
        <f>VLOOKUP(Table136[[#This Row],[Code]],Maine!A:F,6,0)</f>
        <v>68</v>
      </c>
      <c r="E17" s="11"/>
      <c r="F17" s="1">
        <f>Table136[[#This Row],[Box]]-Table136[[#This Row],[Order]]</f>
        <v>68</v>
      </c>
    </row>
    <row r="18" spans="1:6" x14ac:dyDescent="0.25">
      <c r="A18" s="1" t="s">
        <v>21</v>
      </c>
      <c r="B18" s="1" t="s">
        <v>69</v>
      </c>
      <c r="C18" s="1">
        <f>VLOOKUP(Table136[[#This Row],[Code]],'Main Storage'!A:D,3,0)</f>
        <v>1238</v>
      </c>
      <c r="D18" s="1">
        <f>VLOOKUP(Table136[[#This Row],[Code]],Maine!A:F,6,0)</f>
        <v>103</v>
      </c>
      <c r="E18" s="11"/>
      <c r="F18" s="1">
        <f>Table136[[#This Row],[Box]]-Table136[[#This Row],[Order]]</f>
        <v>103</v>
      </c>
    </row>
    <row r="19" spans="1:6" x14ac:dyDescent="0.25">
      <c r="A19" s="1" t="s">
        <v>22</v>
      </c>
      <c r="B19" s="1" t="s">
        <v>70</v>
      </c>
      <c r="C19" s="1">
        <f>VLOOKUP(Table136[[#This Row],[Code]],'Main Storage'!A:D,3,0)</f>
        <v>624</v>
      </c>
      <c r="D19" s="1">
        <f>VLOOKUP(Table136[[#This Row],[Code]],Maine!A:F,6,0)</f>
        <v>52</v>
      </c>
      <c r="E19" s="11"/>
      <c r="F19" s="1">
        <f>Table136[[#This Row],[Box]]-Table136[[#This Row],[Order]]</f>
        <v>52</v>
      </c>
    </row>
    <row r="20" spans="1:6" x14ac:dyDescent="0.25">
      <c r="A20" s="1" t="s">
        <v>23</v>
      </c>
      <c r="B20" s="1" t="s">
        <v>71</v>
      </c>
      <c r="C20" s="1">
        <f>VLOOKUP(Table136[[#This Row],[Code]],'Main Storage'!A:D,3,0)</f>
        <v>788</v>
      </c>
      <c r="D20" s="1">
        <f>VLOOKUP(Table136[[#This Row],[Code]],Maine!A:F,6,0)</f>
        <v>65</v>
      </c>
      <c r="E20" s="11"/>
      <c r="F20" s="1">
        <f>Table136[[#This Row],[Box]]-Table136[[#This Row],[Order]]</f>
        <v>65</v>
      </c>
    </row>
    <row r="21" spans="1:6" x14ac:dyDescent="0.25">
      <c r="A21" s="1" t="s">
        <v>24</v>
      </c>
      <c r="B21" s="1" t="s">
        <v>72</v>
      </c>
      <c r="C21" s="1">
        <f>VLOOKUP(Table136[[#This Row],[Code]],'Main Storage'!A:D,3,0)</f>
        <v>368</v>
      </c>
      <c r="D21" s="1">
        <f>VLOOKUP(Table136[[#This Row],[Code]],Maine!A:F,6,0)</f>
        <v>30</v>
      </c>
      <c r="E21" s="11"/>
      <c r="F21" s="1">
        <f>Table136[[#This Row],[Box]]-Table136[[#This Row],[Order]]</f>
        <v>30</v>
      </c>
    </row>
    <row r="22" spans="1:6" x14ac:dyDescent="0.25">
      <c r="A22" s="1" t="s">
        <v>25</v>
      </c>
      <c r="B22" s="1" t="s">
        <v>73</v>
      </c>
      <c r="C22" s="1">
        <f>VLOOKUP(Table136[[#This Row],[Code]],'Main Storage'!A:D,3,0)</f>
        <v>281</v>
      </c>
      <c r="D22" s="1">
        <f>VLOOKUP(Table136[[#This Row],[Code]],Maine!A:F,6,0)</f>
        <v>23</v>
      </c>
      <c r="E22" s="11"/>
      <c r="F22" s="1">
        <f>Table136[[#This Row],[Box]]-Table136[[#This Row],[Order]]</f>
        <v>23</v>
      </c>
    </row>
    <row r="23" spans="1:6" x14ac:dyDescent="0.25">
      <c r="A23" s="1" t="s">
        <v>26</v>
      </c>
      <c r="B23" s="1" t="s">
        <v>74</v>
      </c>
      <c r="C23" s="1">
        <f>VLOOKUP(Table136[[#This Row],[Code]],'Main Storage'!A:D,3,0)</f>
        <v>1480</v>
      </c>
      <c r="D23" s="1">
        <f>VLOOKUP(Table136[[#This Row],[Code]],Maine!A:F,6,0)</f>
        <v>123</v>
      </c>
      <c r="E23" s="11"/>
      <c r="F23" s="1">
        <f>Table136[[#This Row],[Box]]-Table136[[#This Row],[Order]]</f>
        <v>123</v>
      </c>
    </row>
    <row r="24" spans="1:6" x14ac:dyDescent="0.25">
      <c r="A24" s="1" t="s">
        <v>27</v>
      </c>
      <c r="B24" s="1" t="s">
        <v>75</v>
      </c>
      <c r="C24" s="1">
        <f>VLOOKUP(Table136[[#This Row],[Code]],'Main Storage'!A:D,3,0)</f>
        <v>1088</v>
      </c>
      <c r="D24" s="1">
        <f>VLOOKUP(Table136[[#This Row],[Code]],Maine!A:F,6,0)</f>
        <v>90</v>
      </c>
      <c r="E24" s="11"/>
      <c r="F24" s="1">
        <f>Table136[[#This Row],[Box]]-Table136[[#This Row],[Order]]</f>
        <v>90</v>
      </c>
    </row>
    <row r="25" spans="1:6" x14ac:dyDescent="0.25">
      <c r="A25" s="1" t="s">
        <v>28</v>
      </c>
      <c r="B25" s="1" t="s">
        <v>76</v>
      </c>
      <c r="C25" s="1">
        <f>VLOOKUP(Table136[[#This Row],[Code]],'Main Storage'!A:D,3,0)</f>
        <v>8</v>
      </c>
      <c r="D25" s="1">
        <f>VLOOKUP(Table136[[#This Row],[Code]],Maine!A:F,6,0)</f>
        <v>0</v>
      </c>
      <c r="E25" s="11"/>
      <c r="F25" s="1">
        <f>Table136[[#This Row],[Box]]-Table136[[#This Row],[Order]]</f>
        <v>0</v>
      </c>
    </row>
    <row r="26" spans="1:6" x14ac:dyDescent="0.25">
      <c r="A26" s="1" t="s">
        <v>29</v>
      </c>
      <c r="B26" s="1" t="s">
        <v>77</v>
      </c>
      <c r="C26" s="1">
        <f>VLOOKUP(Table136[[#This Row],[Code]],'Main Storage'!A:D,3,0)</f>
        <v>82</v>
      </c>
      <c r="D26" s="1">
        <f>VLOOKUP(Table136[[#This Row],[Code]],Maine!A:F,6,0)</f>
        <v>6</v>
      </c>
      <c r="E26" s="11"/>
      <c r="F26" s="1">
        <f>Table136[[#This Row],[Box]]-Table136[[#This Row],[Order]]</f>
        <v>6</v>
      </c>
    </row>
    <row r="27" spans="1:6" x14ac:dyDescent="0.25">
      <c r="A27" s="1" t="s">
        <v>30</v>
      </c>
      <c r="B27" s="1" t="s">
        <v>78</v>
      </c>
      <c r="C27" s="1">
        <f>VLOOKUP(Table136[[#This Row],[Code]],'Main Storage'!A:D,3,0)</f>
        <v>518</v>
      </c>
      <c r="D27" s="1">
        <f>VLOOKUP(Table136[[#This Row],[Code]],Maine!A:F,6,0)</f>
        <v>43</v>
      </c>
      <c r="E27" s="11"/>
      <c r="F27" s="1">
        <f>Table136[[#This Row],[Box]]-Table136[[#This Row],[Order]]</f>
        <v>43</v>
      </c>
    </row>
    <row r="28" spans="1:6" x14ac:dyDescent="0.25">
      <c r="A28" s="1" t="s">
        <v>31</v>
      </c>
      <c r="B28" s="1" t="s">
        <v>79</v>
      </c>
      <c r="C28" s="1">
        <f>VLOOKUP(Table136[[#This Row],[Code]],'Main Storage'!A:D,3,0)</f>
        <v>459</v>
      </c>
      <c r="D28" s="1">
        <f>VLOOKUP(Table136[[#This Row],[Code]],Maine!A:F,6,0)</f>
        <v>38</v>
      </c>
      <c r="E28" s="11"/>
      <c r="F28" s="1">
        <f>Table136[[#This Row],[Box]]-Table136[[#This Row],[Order]]</f>
        <v>38</v>
      </c>
    </row>
    <row r="29" spans="1:6" x14ac:dyDescent="0.25">
      <c r="A29" s="1" t="s">
        <v>32</v>
      </c>
      <c r="B29" s="1" t="s">
        <v>80</v>
      </c>
      <c r="C29" s="1">
        <f>VLOOKUP(Table136[[#This Row],[Code]],'Main Storage'!A:D,3,0)</f>
        <v>305</v>
      </c>
      <c r="D29" s="1">
        <f>VLOOKUP(Table136[[#This Row],[Code]],Maine!A:F,6,0)</f>
        <v>25</v>
      </c>
      <c r="E29" s="11"/>
      <c r="F29" s="1">
        <f>Table136[[#This Row],[Box]]-Table136[[#This Row],[Order]]</f>
        <v>25</v>
      </c>
    </row>
    <row r="30" spans="1:6" x14ac:dyDescent="0.25">
      <c r="A30" s="1" t="s">
        <v>33</v>
      </c>
      <c r="B30" s="1" t="s">
        <v>81</v>
      </c>
      <c r="C30" s="1">
        <f>VLOOKUP(Table136[[#This Row],[Code]],'Main Storage'!A:D,3,0)</f>
        <v>348</v>
      </c>
      <c r="D30" s="1">
        <f>VLOOKUP(Table136[[#This Row],[Code]],Maine!A:F,6,0)</f>
        <v>29</v>
      </c>
      <c r="E30" s="11"/>
      <c r="F30" s="1">
        <f>Table136[[#This Row],[Box]]-Table136[[#This Row],[Order]]</f>
        <v>29</v>
      </c>
    </row>
    <row r="31" spans="1:6" x14ac:dyDescent="0.25">
      <c r="A31" s="1" t="s">
        <v>34</v>
      </c>
      <c r="B31" s="1" t="s">
        <v>82</v>
      </c>
      <c r="C31" s="1">
        <f>VLOOKUP(Table136[[#This Row],[Code]],'Main Storage'!A:D,3,0)</f>
        <v>222</v>
      </c>
      <c r="D31" s="1">
        <f>VLOOKUP(Table136[[#This Row],[Code]],Maine!A:F,6,0)</f>
        <v>18</v>
      </c>
      <c r="E31" s="11"/>
      <c r="F31" s="1">
        <f>Table136[[#This Row],[Box]]-Table136[[#This Row],[Order]]</f>
        <v>18</v>
      </c>
    </row>
    <row r="32" spans="1:6" x14ac:dyDescent="0.25">
      <c r="A32" s="1" t="s">
        <v>35</v>
      </c>
      <c r="B32" s="1" t="s">
        <v>83</v>
      </c>
      <c r="C32" s="1">
        <f>VLOOKUP(Table136[[#This Row],[Code]],'Main Storage'!A:D,3,0)</f>
        <v>729</v>
      </c>
      <c r="D32" s="1">
        <f>VLOOKUP(Table136[[#This Row],[Code]],Maine!A:F,6,0)</f>
        <v>60</v>
      </c>
      <c r="E32" s="11"/>
      <c r="F32" s="1">
        <f>Table136[[#This Row],[Box]]-Table136[[#This Row],[Order]]</f>
        <v>60</v>
      </c>
    </row>
    <row r="33" spans="1:6" x14ac:dyDescent="0.25">
      <c r="A33" s="1" t="s">
        <v>36</v>
      </c>
      <c r="B33" s="1" t="s">
        <v>84</v>
      </c>
      <c r="C33" s="1">
        <f>VLOOKUP(Table136[[#This Row],[Code]],'Main Storage'!A:D,3,0)</f>
        <v>874</v>
      </c>
      <c r="D33" s="1">
        <f>VLOOKUP(Table136[[#This Row],[Code]],Maine!A:F,6,0)</f>
        <v>72</v>
      </c>
      <c r="E33" s="11"/>
      <c r="F33" s="1">
        <f>Table136[[#This Row],[Box]]-Table136[[#This Row],[Order]]</f>
        <v>72</v>
      </c>
    </row>
    <row r="34" spans="1:6" x14ac:dyDescent="0.25">
      <c r="A34" s="1" t="s">
        <v>37</v>
      </c>
      <c r="B34" s="1" t="s">
        <v>85</v>
      </c>
      <c r="C34" s="1">
        <f>VLOOKUP(Table136[[#This Row],[Code]],'Main Storage'!A:D,3,0)</f>
        <v>377</v>
      </c>
      <c r="D34" s="1">
        <f>VLOOKUP(Table136[[#This Row],[Code]],Maine!A:F,6,0)</f>
        <v>31</v>
      </c>
      <c r="E34" s="11"/>
      <c r="F34" s="1">
        <f>Table136[[#This Row],[Box]]-Table136[[#This Row],[Order]]</f>
        <v>31</v>
      </c>
    </row>
    <row r="35" spans="1:6" x14ac:dyDescent="0.25">
      <c r="A35" s="1" t="s">
        <v>38</v>
      </c>
      <c r="B35" s="1" t="s">
        <v>86</v>
      </c>
      <c r="C35" s="1">
        <f>VLOOKUP(Table136[[#This Row],[Code]],'Main Storage'!A:D,3,0)</f>
        <v>1189</v>
      </c>
      <c r="D35" s="1">
        <f>VLOOKUP(Table136[[#This Row],[Code]],Maine!A:F,6,0)</f>
        <v>99</v>
      </c>
      <c r="E35" s="11"/>
      <c r="F35" s="1">
        <f>Table136[[#This Row],[Box]]-Table136[[#This Row],[Order]]</f>
        <v>99</v>
      </c>
    </row>
    <row r="36" spans="1:6" x14ac:dyDescent="0.25">
      <c r="A36" s="1" t="s">
        <v>39</v>
      </c>
      <c r="B36" s="1" t="s">
        <v>87</v>
      </c>
      <c r="C36" s="1">
        <f>VLOOKUP(Table136[[#This Row],[Code]],'Main Storage'!A:D,3,0)</f>
        <v>1006</v>
      </c>
      <c r="D36" s="1">
        <f>VLOOKUP(Table136[[#This Row],[Code]],Maine!A:F,6,0)</f>
        <v>83</v>
      </c>
      <c r="E36" s="11"/>
      <c r="F36" s="1">
        <f>Table136[[#This Row],[Box]]-Table136[[#This Row],[Order]]</f>
        <v>83</v>
      </c>
    </row>
    <row r="37" spans="1:6" x14ac:dyDescent="0.25">
      <c r="A37" s="1" t="s">
        <v>40</v>
      </c>
      <c r="B37" s="1" t="s">
        <v>88</v>
      </c>
      <c r="C37" s="1">
        <f>VLOOKUP(Table136[[#This Row],[Code]],'Main Storage'!A:D,3,0)</f>
        <v>59</v>
      </c>
      <c r="D37" s="1">
        <f>VLOOKUP(Table136[[#This Row],[Code]],Maine!A:F,6,0)</f>
        <v>4</v>
      </c>
      <c r="E37" s="11"/>
      <c r="F37" s="1">
        <f>Table136[[#This Row],[Box]]-Table136[[#This Row],[Order]]</f>
        <v>4</v>
      </c>
    </row>
    <row r="38" spans="1:6" x14ac:dyDescent="0.25">
      <c r="A38" s="1" t="s">
        <v>41</v>
      </c>
      <c r="B38" s="1" t="s">
        <v>89</v>
      </c>
      <c r="C38" s="1">
        <f>VLOOKUP(Table136[[#This Row],[Code]],'Main Storage'!A:D,3,0)</f>
        <v>1087</v>
      </c>
      <c r="D38" s="1">
        <f>VLOOKUP(Table136[[#This Row],[Code]],Maine!A:F,6,0)</f>
        <v>90</v>
      </c>
      <c r="E38" s="11"/>
      <c r="F38" s="1">
        <f>Table136[[#This Row],[Box]]-Table136[[#This Row],[Order]]</f>
        <v>90</v>
      </c>
    </row>
    <row r="39" spans="1:6" x14ac:dyDescent="0.25">
      <c r="A39" s="1" t="s">
        <v>42</v>
      </c>
      <c r="B39" s="1" t="s">
        <v>90</v>
      </c>
      <c r="C39" s="1">
        <f>VLOOKUP(Table136[[#This Row],[Code]],'Main Storage'!A:D,3,0)</f>
        <v>281</v>
      </c>
      <c r="D39" s="1">
        <f>VLOOKUP(Table136[[#This Row],[Code]],Maine!A:F,6,0)</f>
        <v>23</v>
      </c>
      <c r="E39" s="11"/>
      <c r="F39" s="1">
        <f>Table136[[#This Row],[Box]]-Table136[[#This Row],[Order]]</f>
        <v>23</v>
      </c>
    </row>
    <row r="40" spans="1:6" x14ac:dyDescent="0.25">
      <c r="A40" s="1" t="s">
        <v>43</v>
      </c>
      <c r="B40" s="1" t="s">
        <v>91</v>
      </c>
      <c r="C40" s="1">
        <f>VLOOKUP(Table136[[#This Row],[Code]],'Main Storage'!A:D,3,0)</f>
        <v>1125</v>
      </c>
      <c r="D40" s="1">
        <f>VLOOKUP(Table136[[#This Row],[Code]],Maine!A:F,6,0)</f>
        <v>93</v>
      </c>
      <c r="E40" s="11"/>
      <c r="F40" s="1">
        <f>Table136[[#This Row],[Box]]-Table136[[#This Row],[Order]]</f>
        <v>93</v>
      </c>
    </row>
    <row r="41" spans="1:6" x14ac:dyDescent="0.25">
      <c r="A41" s="1" t="s">
        <v>44</v>
      </c>
      <c r="B41" s="1" t="s">
        <v>92</v>
      </c>
      <c r="C41" s="1">
        <f>VLOOKUP(Table136[[#This Row],[Code]],'Main Storage'!A:D,3,0)</f>
        <v>281</v>
      </c>
      <c r="D41" s="1">
        <f>VLOOKUP(Table136[[#This Row],[Code]],Maine!A:F,6,0)</f>
        <v>23</v>
      </c>
      <c r="E41" s="11"/>
      <c r="F41" s="1">
        <f>Table136[[#This Row],[Box]]-Table136[[#This Row],[Order]]</f>
        <v>23</v>
      </c>
    </row>
    <row r="42" spans="1:6" x14ac:dyDescent="0.25">
      <c r="A42" s="1" t="s">
        <v>45</v>
      </c>
      <c r="B42" s="1" t="s">
        <v>93</v>
      </c>
      <c r="C42" s="1">
        <f>VLOOKUP(Table136[[#This Row],[Code]],'Main Storage'!A:D,3,0)</f>
        <v>354</v>
      </c>
      <c r="D42" s="1">
        <f>VLOOKUP(Table136[[#This Row],[Code]],Maine!A:F,6,0)</f>
        <v>29</v>
      </c>
      <c r="E42" s="11"/>
      <c r="F42" s="1">
        <f>Table136[[#This Row],[Box]]-Table136[[#This Row],[Order]]</f>
        <v>29</v>
      </c>
    </row>
    <row r="43" spans="1:6" x14ac:dyDescent="0.25">
      <c r="A43" s="1" t="s">
        <v>46</v>
      </c>
      <c r="B43" s="1" t="s">
        <v>94</v>
      </c>
      <c r="C43" s="1">
        <f>VLOOKUP(Table136[[#This Row],[Code]],'Main Storage'!A:D,3,0)</f>
        <v>649</v>
      </c>
      <c r="D43" s="1">
        <f>VLOOKUP(Table136[[#This Row],[Code]],Maine!A:F,6,0)</f>
        <v>54</v>
      </c>
      <c r="E43" s="11"/>
      <c r="F43" s="1">
        <f>Table136[[#This Row],[Box]]-Table136[[#This Row],[Order]]</f>
        <v>54</v>
      </c>
    </row>
    <row r="44" spans="1:6" x14ac:dyDescent="0.25">
      <c r="A44" s="1" t="s">
        <v>47</v>
      </c>
      <c r="B44" s="1" t="s">
        <v>95</v>
      </c>
      <c r="C44" s="1">
        <f>VLOOKUP(Table136[[#This Row],[Code]],'Main Storage'!A:D,3,0)</f>
        <v>1322</v>
      </c>
      <c r="D44" s="1">
        <f>VLOOKUP(Table136[[#This Row],[Code]],Maine!A:F,6,0)</f>
        <v>110</v>
      </c>
      <c r="E44" s="11"/>
      <c r="F44" s="1">
        <f>Table136[[#This Row],[Box]]-Table136[[#This Row],[Order]]</f>
        <v>110</v>
      </c>
    </row>
    <row r="45" spans="1:6" x14ac:dyDescent="0.25">
      <c r="A45" s="1" t="s">
        <v>48</v>
      </c>
      <c r="B45" s="1" t="s">
        <v>96</v>
      </c>
      <c r="C45" s="1">
        <f>VLOOKUP(Table136[[#This Row],[Code]],'Main Storage'!A:D,3,0)</f>
        <v>1038</v>
      </c>
      <c r="D45" s="1">
        <f>VLOOKUP(Table136[[#This Row],[Code]],Maine!A:F,6,0)</f>
        <v>86</v>
      </c>
      <c r="E45" s="11"/>
      <c r="F45" s="1">
        <f>Table136[[#This Row],[Box]]-Table136[[#This Row],[Order]]</f>
        <v>86</v>
      </c>
    </row>
    <row r="46" spans="1:6" x14ac:dyDescent="0.25">
      <c r="A46" s="1" t="s">
        <v>49</v>
      </c>
      <c r="B46" s="1" t="s">
        <v>97</v>
      </c>
      <c r="C46" s="1">
        <f>VLOOKUP(Table136[[#This Row],[Code]],'Main Storage'!A:D,3,0)</f>
        <v>340</v>
      </c>
      <c r="D46" s="1">
        <f>VLOOKUP(Table136[[#This Row],[Code]],Maine!A:F,6,0)</f>
        <v>28</v>
      </c>
      <c r="E46" s="11"/>
      <c r="F46" s="1">
        <f>Table136[[#This Row],[Box]]-Table136[[#This Row],[Order]]</f>
        <v>28</v>
      </c>
    </row>
    <row r="47" spans="1:6" x14ac:dyDescent="0.25">
      <c r="A47" s="1" t="s">
        <v>50</v>
      </c>
      <c r="B47" s="1" t="s">
        <v>98</v>
      </c>
      <c r="C47" s="1">
        <f>VLOOKUP(Table136[[#This Row],[Code]],'Main Storage'!A:D,3,0)</f>
        <v>399</v>
      </c>
      <c r="D47" s="1">
        <f>VLOOKUP(Table136[[#This Row],[Code]],Maine!A:F,6,0)</f>
        <v>33</v>
      </c>
      <c r="E47" s="11"/>
      <c r="F47" s="1">
        <f>Table136[[#This Row],[Box]]-Table136[[#This Row],[Order]]</f>
        <v>33</v>
      </c>
    </row>
    <row r="48" spans="1:6" x14ac:dyDescent="0.25">
      <c r="A48" s="1" t="s">
        <v>51</v>
      </c>
      <c r="B48" s="1" t="s">
        <v>99</v>
      </c>
      <c r="C48" s="1">
        <f>VLOOKUP(Table136[[#This Row],[Code]],'Main Storage'!A:D,3,0)</f>
        <v>468</v>
      </c>
      <c r="D48" s="1">
        <f>VLOOKUP(Table136[[#This Row],[Code]],Maine!A:F,6,0)</f>
        <v>39</v>
      </c>
      <c r="E48" s="11"/>
      <c r="F48" s="1">
        <f>Table136[[#This Row],[Box]]-Table136[[#This Row],[Order]]</f>
        <v>39</v>
      </c>
    </row>
    <row r="49" spans="1:6" x14ac:dyDescent="0.25">
      <c r="A49" s="1" t="s">
        <v>52</v>
      </c>
      <c r="B49" s="1" t="s">
        <v>100</v>
      </c>
      <c r="C49" s="1">
        <f>VLOOKUP(Table136[[#This Row],[Code]],'Main Storage'!A:D,3,0)</f>
        <v>829</v>
      </c>
      <c r="D49" s="1">
        <f>VLOOKUP(Table136[[#This Row],[Code]],Maine!A:F,6,0)</f>
        <v>69</v>
      </c>
      <c r="E49" s="11"/>
      <c r="F49" s="1">
        <f>Table136[[#This Row],[Box]]-Table136[[#This Row],[Order]]</f>
        <v>69</v>
      </c>
    </row>
    <row r="50" spans="1:6" x14ac:dyDescent="0.25">
      <c r="A50" s="1" t="s">
        <v>53</v>
      </c>
      <c r="B50" s="1" t="s">
        <v>101</v>
      </c>
      <c r="C50" s="1">
        <f>VLOOKUP(Table136[[#This Row],[Code]],'Main Storage'!A:D,3,0)</f>
        <v>1420</v>
      </c>
      <c r="D50" s="1">
        <f>VLOOKUP(Table136[[#This Row],[Code]],Maine!A:F,6,0)</f>
        <v>118</v>
      </c>
      <c r="E50" s="11"/>
      <c r="F50" s="1">
        <f>Table136[[#This Row],[Box]]-Table136[[#This Row],[Order]]</f>
        <v>118</v>
      </c>
    </row>
    <row r="51" spans="1:6" x14ac:dyDescent="0.25">
      <c r="A51" s="1" t="s">
        <v>102</v>
      </c>
      <c r="B51" s="1" t="s">
        <v>152</v>
      </c>
      <c r="C51" s="1">
        <f>VLOOKUP(Table136[[#This Row],[Code]],'Main Storage'!A:D,3,0)</f>
        <v>765</v>
      </c>
      <c r="D51" s="1">
        <f>VLOOKUP(Table136[[#This Row],[Code]],Maine!A:F,6,0)</f>
        <v>15</v>
      </c>
      <c r="E51" s="11"/>
      <c r="F51" s="1">
        <f>Table136[[#This Row],[Box]]-Table136[[#This Row],[Order]]</f>
        <v>15</v>
      </c>
    </row>
    <row r="52" spans="1:6" x14ac:dyDescent="0.25">
      <c r="A52" s="1" t="s">
        <v>103</v>
      </c>
      <c r="B52" s="1" t="s">
        <v>153</v>
      </c>
      <c r="C52" s="1">
        <f>VLOOKUP(Table136[[#This Row],[Code]],'Main Storage'!A:D,3,0)</f>
        <v>916</v>
      </c>
      <c r="D52" s="1">
        <f>VLOOKUP(Table136[[#This Row],[Code]],Maine!A:F,6,0)</f>
        <v>19</v>
      </c>
      <c r="E52" s="11"/>
      <c r="F52" s="1">
        <f>Table136[[#This Row],[Box]]-Table136[[#This Row],[Order]]</f>
        <v>19</v>
      </c>
    </row>
    <row r="53" spans="1:6" x14ac:dyDescent="0.25">
      <c r="A53" s="1" t="s">
        <v>104</v>
      </c>
      <c r="B53" s="1" t="s">
        <v>154</v>
      </c>
      <c r="C53" s="1">
        <f>VLOOKUP(Table136[[#This Row],[Code]],'Main Storage'!A:D,3,0)</f>
        <v>1012</v>
      </c>
      <c r="D53" s="1">
        <f>VLOOKUP(Table136[[#This Row],[Code]],Maine!A:F,6,0)</f>
        <v>21</v>
      </c>
      <c r="E53" s="11"/>
      <c r="F53" s="1">
        <f>Table136[[#This Row],[Box]]-Table136[[#This Row],[Order]]</f>
        <v>21</v>
      </c>
    </row>
    <row r="54" spans="1:6" x14ac:dyDescent="0.25">
      <c r="A54" s="1" t="s">
        <v>105</v>
      </c>
      <c r="B54" s="1" t="s">
        <v>155</v>
      </c>
      <c r="C54" s="1">
        <f>VLOOKUP(Table136[[#This Row],[Code]],'Main Storage'!A:D,3,0)</f>
        <v>299</v>
      </c>
      <c r="D54" s="1">
        <f>VLOOKUP(Table136[[#This Row],[Code]],Maine!A:F,6,0)</f>
        <v>6</v>
      </c>
      <c r="E54" s="11"/>
      <c r="F54" s="1">
        <f>Table136[[#This Row],[Box]]-Table136[[#This Row],[Order]]</f>
        <v>6</v>
      </c>
    </row>
    <row r="55" spans="1:6" x14ac:dyDescent="0.25">
      <c r="A55" s="1" t="s">
        <v>106</v>
      </c>
      <c r="B55" s="1" t="s">
        <v>156</v>
      </c>
      <c r="C55" s="1">
        <f>VLOOKUP(Table136[[#This Row],[Code]],'Main Storage'!A:D,3,0)</f>
        <v>1361</v>
      </c>
      <c r="D55" s="1">
        <f>VLOOKUP(Table136[[#This Row],[Code]],Maine!A:F,6,0)</f>
        <v>28</v>
      </c>
      <c r="E55" s="11"/>
      <c r="F55" s="1">
        <f>Table136[[#This Row],[Box]]-Table136[[#This Row],[Order]]</f>
        <v>28</v>
      </c>
    </row>
    <row r="56" spans="1:6" x14ac:dyDescent="0.25">
      <c r="A56" s="1" t="s">
        <v>107</v>
      </c>
      <c r="B56" s="1" t="s">
        <v>157</v>
      </c>
      <c r="C56" s="1">
        <f>VLOOKUP(Table136[[#This Row],[Code]],'Main Storage'!A:D,3,0)</f>
        <v>621</v>
      </c>
      <c r="D56" s="1">
        <f>VLOOKUP(Table136[[#This Row],[Code]],Maine!A:F,6,0)</f>
        <v>12</v>
      </c>
      <c r="E56" s="11"/>
      <c r="F56" s="1">
        <f>Table136[[#This Row],[Box]]-Table136[[#This Row],[Order]]</f>
        <v>12</v>
      </c>
    </row>
    <row r="57" spans="1:6" x14ac:dyDescent="0.25">
      <c r="A57" s="1" t="s">
        <v>108</v>
      </c>
      <c r="B57" s="1" t="s">
        <v>158</v>
      </c>
      <c r="C57" s="1">
        <f>VLOOKUP(Table136[[#This Row],[Code]],'Main Storage'!A:D,3,0)</f>
        <v>775</v>
      </c>
      <c r="D57" s="1">
        <f>VLOOKUP(Table136[[#This Row],[Code]],Maine!A:F,6,0)</f>
        <v>16</v>
      </c>
      <c r="E57" s="11"/>
      <c r="F57" s="1">
        <f>Table136[[#This Row],[Box]]-Table136[[#This Row],[Order]]</f>
        <v>16</v>
      </c>
    </row>
    <row r="58" spans="1:6" x14ac:dyDescent="0.25">
      <c r="A58" s="1" t="s">
        <v>109</v>
      </c>
      <c r="B58" s="1" t="s">
        <v>159</v>
      </c>
      <c r="C58" s="1">
        <f>VLOOKUP(Table136[[#This Row],[Code]],'Main Storage'!A:D,3,0)</f>
        <v>316</v>
      </c>
      <c r="D58" s="1">
        <f>VLOOKUP(Table136[[#This Row],[Code]],Maine!A:F,6,0)</f>
        <v>6</v>
      </c>
      <c r="E58" s="11"/>
      <c r="F58" s="1">
        <f>Table136[[#This Row],[Box]]-Table136[[#This Row],[Order]]</f>
        <v>6</v>
      </c>
    </row>
    <row r="59" spans="1:6" x14ac:dyDescent="0.25">
      <c r="A59" s="1" t="s">
        <v>110</v>
      </c>
      <c r="B59" s="1" t="s">
        <v>160</v>
      </c>
      <c r="C59" s="1">
        <f>VLOOKUP(Table136[[#This Row],[Code]],'Main Storage'!A:D,3,0)</f>
        <v>553</v>
      </c>
      <c r="D59" s="1">
        <f>VLOOKUP(Table136[[#This Row],[Code]],Maine!A:F,6,0)</f>
        <v>11</v>
      </c>
      <c r="E59" s="11"/>
      <c r="F59" s="1">
        <f>Table136[[#This Row],[Box]]-Table136[[#This Row],[Order]]</f>
        <v>11</v>
      </c>
    </row>
    <row r="60" spans="1:6" x14ac:dyDescent="0.25">
      <c r="A60" s="1" t="s">
        <v>111</v>
      </c>
      <c r="B60" s="1" t="s">
        <v>161</v>
      </c>
      <c r="C60" s="1">
        <f>VLOOKUP(Table136[[#This Row],[Code]],'Main Storage'!A:D,3,0)</f>
        <v>130</v>
      </c>
      <c r="D60" s="1">
        <f>VLOOKUP(Table136[[#This Row],[Code]],Maine!A:F,6,0)</f>
        <v>2</v>
      </c>
      <c r="E60" s="11"/>
      <c r="F60" s="1">
        <f>Table136[[#This Row],[Box]]-Table136[[#This Row],[Order]]</f>
        <v>2</v>
      </c>
    </row>
    <row r="61" spans="1:6" x14ac:dyDescent="0.25">
      <c r="A61" s="1" t="s">
        <v>112</v>
      </c>
      <c r="B61" s="1" t="s">
        <v>162</v>
      </c>
      <c r="C61" s="1">
        <f>VLOOKUP(Table136[[#This Row],[Code]],'Main Storage'!A:D,3,0)</f>
        <v>890</v>
      </c>
      <c r="D61" s="1">
        <f>VLOOKUP(Table136[[#This Row],[Code]],Maine!A:F,6,0)</f>
        <v>18</v>
      </c>
      <c r="E61" s="11"/>
      <c r="F61" s="1">
        <f>Table136[[#This Row],[Box]]-Table136[[#This Row],[Order]]</f>
        <v>18</v>
      </c>
    </row>
    <row r="62" spans="1:6" x14ac:dyDescent="0.25">
      <c r="A62" s="1" t="s">
        <v>113</v>
      </c>
      <c r="B62" s="1" t="s">
        <v>163</v>
      </c>
      <c r="C62" s="1">
        <f>VLOOKUP(Table136[[#This Row],[Code]],'Main Storage'!A:D,3,0)</f>
        <v>255</v>
      </c>
      <c r="D62" s="1">
        <f>VLOOKUP(Table136[[#This Row],[Code]],Maine!A:F,6,0)</f>
        <v>5</v>
      </c>
      <c r="E62" s="11"/>
      <c r="F62" s="1">
        <f>Table136[[#This Row],[Box]]-Table136[[#This Row],[Order]]</f>
        <v>5</v>
      </c>
    </row>
    <row r="63" spans="1:6" x14ac:dyDescent="0.25">
      <c r="A63" s="1" t="s">
        <v>114</v>
      </c>
      <c r="B63" s="1" t="s">
        <v>164</v>
      </c>
      <c r="C63" s="1">
        <f>VLOOKUP(Table136[[#This Row],[Code]],'Main Storage'!A:D,3,0)</f>
        <v>1368</v>
      </c>
      <c r="D63" s="1">
        <f>VLOOKUP(Table136[[#This Row],[Code]],Maine!A:F,6,0)</f>
        <v>28</v>
      </c>
      <c r="E63" s="11"/>
      <c r="F63" s="1">
        <f>Table136[[#This Row],[Box]]-Table136[[#This Row],[Order]]</f>
        <v>28</v>
      </c>
    </row>
    <row r="64" spans="1:6" x14ac:dyDescent="0.25">
      <c r="A64" s="1" t="s">
        <v>115</v>
      </c>
      <c r="B64" s="1" t="s">
        <v>165</v>
      </c>
      <c r="C64" s="1">
        <f>VLOOKUP(Table136[[#This Row],[Code]],'Main Storage'!A:D,3,0)</f>
        <v>324</v>
      </c>
      <c r="D64" s="1">
        <f>VLOOKUP(Table136[[#This Row],[Code]],Maine!A:F,6,0)</f>
        <v>6</v>
      </c>
      <c r="E64" s="11"/>
      <c r="F64" s="1">
        <f>Table136[[#This Row],[Box]]-Table136[[#This Row],[Order]]</f>
        <v>6</v>
      </c>
    </row>
    <row r="65" spans="1:6" x14ac:dyDescent="0.25">
      <c r="A65" s="1" t="s">
        <v>116</v>
      </c>
      <c r="B65" s="1" t="s">
        <v>166</v>
      </c>
      <c r="C65" s="1">
        <f>VLOOKUP(Table136[[#This Row],[Code]],'Main Storage'!A:D,3,0)</f>
        <v>997</v>
      </c>
      <c r="D65" s="1">
        <f>VLOOKUP(Table136[[#This Row],[Code]],Maine!A:F,6,0)</f>
        <v>20</v>
      </c>
      <c r="E65" s="11"/>
      <c r="F65" s="1">
        <f>Table136[[#This Row],[Box]]-Table136[[#This Row],[Order]]</f>
        <v>20</v>
      </c>
    </row>
    <row r="66" spans="1:6" x14ac:dyDescent="0.25">
      <c r="A66" s="1" t="s">
        <v>117</v>
      </c>
      <c r="B66" s="1" t="s">
        <v>167</v>
      </c>
      <c r="C66" s="1">
        <f>VLOOKUP(Table136[[#This Row],[Code]],'Main Storage'!A:D,3,0)</f>
        <v>87</v>
      </c>
      <c r="D66" s="1">
        <f>VLOOKUP(Table136[[#This Row],[Code]],Maine!A:F,6,0)</f>
        <v>1</v>
      </c>
      <c r="E66" s="11"/>
      <c r="F66" s="1">
        <f>Table136[[#This Row],[Box]]-Table136[[#This Row],[Order]]</f>
        <v>1</v>
      </c>
    </row>
    <row r="67" spans="1:6" x14ac:dyDescent="0.25">
      <c r="A67" s="1" t="s">
        <v>118</v>
      </c>
      <c r="B67" s="1" t="s">
        <v>168</v>
      </c>
      <c r="C67" s="1">
        <f>VLOOKUP(Table136[[#This Row],[Code]],'Main Storage'!A:D,3,0)</f>
        <v>1436</v>
      </c>
      <c r="D67" s="1">
        <f>VLOOKUP(Table136[[#This Row],[Code]],Maine!A:F,6,0)</f>
        <v>29</v>
      </c>
      <c r="E67" s="11"/>
      <c r="F67" s="1">
        <f>Table136[[#This Row],[Box]]-Table136[[#This Row],[Order]]</f>
        <v>29</v>
      </c>
    </row>
    <row r="68" spans="1:6" x14ac:dyDescent="0.25">
      <c r="A68" s="1" t="s">
        <v>119</v>
      </c>
      <c r="B68" s="1" t="s">
        <v>169</v>
      </c>
      <c r="C68" s="1">
        <f>VLOOKUP(Table136[[#This Row],[Code]],'Main Storage'!A:D,3,0)</f>
        <v>1007</v>
      </c>
      <c r="D68" s="1">
        <f>VLOOKUP(Table136[[#This Row],[Code]],Maine!A:F,6,0)</f>
        <v>20</v>
      </c>
      <c r="E68" s="11"/>
      <c r="F68" s="1">
        <f>Table136[[#This Row],[Box]]-Table136[[#This Row],[Order]]</f>
        <v>20</v>
      </c>
    </row>
    <row r="69" spans="1:6" x14ac:dyDescent="0.25">
      <c r="A69" s="1" t="s">
        <v>120</v>
      </c>
      <c r="B69" s="1" t="s">
        <v>170</v>
      </c>
      <c r="C69" s="1">
        <f>VLOOKUP(Table136[[#This Row],[Code]],'Main Storage'!A:D,3,0)</f>
        <v>904</v>
      </c>
      <c r="D69" s="1">
        <f>VLOOKUP(Table136[[#This Row],[Code]],Maine!A:F,6,0)</f>
        <v>18</v>
      </c>
      <c r="E69" s="11"/>
      <c r="F69" s="1">
        <f>Table136[[#This Row],[Box]]-Table136[[#This Row],[Order]]</f>
        <v>18</v>
      </c>
    </row>
    <row r="70" spans="1:6" x14ac:dyDescent="0.25">
      <c r="A70" s="1" t="s">
        <v>121</v>
      </c>
      <c r="B70" s="1" t="s">
        <v>171</v>
      </c>
      <c r="C70" s="1">
        <f>VLOOKUP(Table136[[#This Row],[Code]],'Main Storage'!A:D,3,0)</f>
        <v>432</v>
      </c>
      <c r="D70" s="1">
        <f>VLOOKUP(Table136[[#This Row],[Code]],Maine!A:F,6,0)</f>
        <v>9</v>
      </c>
      <c r="E70" s="11"/>
      <c r="F70" s="1">
        <f>Table136[[#This Row],[Box]]-Table136[[#This Row],[Order]]</f>
        <v>9</v>
      </c>
    </row>
    <row r="71" spans="1:6" x14ac:dyDescent="0.25">
      <c r="A71" s="1" t="s">
        <v>122</v>
      </c>
      <c r="B71" s="1" t="s">
        <v>172</v>
      </c>
      <c r="C71" s="1">
        <f>VLOOKUP(Table136[[#This Row],[Code]],'Main Storage'!A:D,3,0)</f>
        <v>515</v>
      </c>
      <c r="D71" s="1">
        <f>VLOOKUP(Table136[[#This Row],[Code]],Maine!A:F,6,0)</f>
        <v>10</v>
      </c>
      <c r="E71" s="11"/>
      <c r="F71" s="1">
        <f>Table136[[#This Row],[Box]]-Table136[[#This Row],[Order]]</f>
        <v>10</v>
      </c>
    </row>
    <row r="72" spans="1:6" x14ac:dyDescent="0.25">
      <c r="A72" s="1" t="s">
        <v>123</v>
      </c>
      <c r="B72" s="1" t="s">
        <v>173</v>
      </c>
      <c r="C72" s="1">
        <f>VLOOKUP(Table136[[#This Row],[Code]],'Main Storage'!A:D,3,0)</f>
        <v>928</v>
      </c>
      <c r="D72" s="1">
        <f>VLOOKUP(Table136[[#This Row],[Code]],Maine!A:F,6,0)</f>
        <v>19</v>
      </c>
      <c r="E72" s="11"/>
      <c r="F72" s="1">
        <f>Table136[[#This Row],[Box]]-Table136[[#This Row],[Order]]</f>
        <v>19</v>
      </c>
    </row>
    <row r="73" spans="1:6" x14ac:dyDescent="0.25">
      <c r="A73" s="1" t="s">
        <v>124</v>
      </c>
      <c r="B73" s="1" t="s">
        <v>174</v>
      </c>
      <c r="C73" s="1">
        <f>VLOOKUP(Table136[[#This Row],[Code]],'Main Storage'!A:D,3,0)</f>
        <v>565</v>
      </c>
      <c r="D73" s="1">
        <f>VLOOKUP(Table136[[#This Row],[Code]],Maine!A:F,6,0)</f>
        <v>11</v>
      </c>
      <c r="E73" s="11"/>
      <c r="F73" s="1">
        <f>Table136[[#This Row],[Box]]-Table136[[#This Row],[Order]]</f>
        <v>11</v>
      </c>
    </row>
    <row r="74" spans="1:6" x14ac:dyDescent="0.25">
      <c r="A74" s="1" t="s">
        <v>125</v>
      </c>
      <c r="B74" s="1" t="s">
        <v>175</v>
      </c>
      <c r="C74" s="1">
        <f>VLOOKUP(Table136[[#This Row],[Code]],'Main Storage'!A:D,3,0)</f>
        <v>286</v>
      </c>
      <c r="D74" s="1">
        <f>VLOOKUP(Table136[[#This Row],[Code]],Maine!A:F,6,0)</f>
        <v>5</v>
      </c>
      <c r="E74" s="11"/>
      <c r="F74" s="1">
        <f>Table136[[#This Row],[Box]]-Table136[[#This Row],[Order]]</f>
        <v>5</v>
      </c>
    </row>
    <row r="75" spans="1:6" x14ac:dyDescent="0.25">
      <c r="A75" s="1" t="s">
        <v>126</v>
      </c>
      <c r="B75" s="1" t="s">
        <v>176</v>
      </c>
      <c r="C75" s="1">
        <f>VLOOKUP(Table136[[#This Row],[Code]],'Main Storage'!A:D,3,0)</f>
        <v>931</v>
      </c>
      <c r="D75" s="1">
        <f>VLOOKUP(Table136[[#This Row],[Code]],Maine!A:F,6,0)</f>
        <v>19</v>
      </c>
      <c r="E75" s="11"/>
      <c r="F75" s="1">
        <f>Table136[[#This Row],[Box]]-Table136[[#This Row],[Order]]</f>
        <v>19</v>
      </c>
    </row>
    <row r="76" spans="1:6" x14ac:dyDescent="0.25">
      <c r="A76" s="1" t="s">
        <v>127</v>
      </c>
      <c r="B76" s="1" t="s">
        <v>177</v>
      </c>
      <c r="C76" s="1">
        <f>VLOOKUP(Table136[[#This Row],[Code]],'Main Storage'!A:D,3,0)</f>
        <v>1045</v>
      </c>
      <c r="D76" s="1">
        <f>VLOOKUP(Table136[[#This Row],[Code]],Maine!A:F,6,0)</f>
        <v>21</v>
      </c>
      <c r="E76" s="11"/>
      <c r="F76" s="1">
        <f>Table136[[#This Row],[Box]]-Table136[[#This Row],[Order]]</f>
        <v>21</v>
      </c>
    </row>
    <row r="77" spans="1:6" x14ac:dyDescent="0.25">
      <c r="A77" s="1" t="s">
        <v>128</v>
      </c>
      <c r="B77" s="1" t="s">
        <v>178</v>
      </c>
      <c r="C77" s="1">
        <f>VLOOKUP(Table136[[#This Row],[Code]],'Main Storage'!A:D,3,0)</f>
        <v>1180</v>
      </c>
      <c r="D77" s="1">
        <f>VLOOKUP(Table136[[#This Row],[Code]],Maine!A:F,6,0)</f>
        <v>24</v>
      </c>
      <c r="E77" s="11"/>
      <c r="F77" s="1">
        <f>Table136[[#This Row],[Box]]-Table136[[#This Row],[Order]]</f>
        <v>24</v>
      </c>
    </row>
    <row r="78" spans="1:6" x14ac:dyDescent="0.25">
      <c r="A78" s="1" t="s">
        <v>129</v>
      </c>
      <c r="B78" s="1" t="s">
        <v>179</v>
      </c>
      <c r="C78" s="1">
        <f>VLOOKUP(Table136[[#This Row],[Code]],'Main Storage'!A:D,3,0)</f>
        <v>804</v>
      </c>
      <c r="D78" s="1">
        <f>VLOOKUP(Table136[[#This Row],[Code]],Maine!A:F,6,0)</f>
        <v>16</v>
      </c>
      <c r="E78" s="11"/>
      <c r="F78" s="1">
        <f>Table136[[#This Row],[Box]]-Table136[[#This Row],[Order]]</f>
        <v>16</v>
      </c>
    </row>
    <row r="79" spans="1:6" x14ac:dyDescent="0.25">
      <c r="A79" s="1" t="s">
        <v>130</v>
      </c>
      <c r="B79" s="1" t="s">
        <v>180</v>
      </c>
      <c r="C79" s="1">
        <f>VLOOKUP(Table136[[#This Row],[Code]],'Main Storage'!A:D,3,0)</f>
        <v>428</v>
      </c>
      <c r="D79" s="1">
        <f>VLOOKUP(Table136[[#This Row],[Code]],Maine!A:F,6,0)</f>
        <v>8</v>
      </c>
      <c r="E79" s="11"/>
      <c r="F79" s="1">
        <f>Table136[[#This Row],[Box]]-Table136[[#This Row],[Order]]</f>
        <v>8</v>
      </c>
    </row>
    <row r="80" spans="1:6" x14ac:dyDescent="0.25">
      <c r="A80" s="1" t="s">
        <v>131</v>
      </c>
      <c r="B80" s="1" t="s">
        <v>181</v>
      </c>
      <c r="C80" s="1">
        <f>VLOOKUP(Table136[[#This Row],[Code]],'Main Storage'!A:D,3,0)</f>
        <v>657</v>
      </c>
      <c r="D80" s="1">
        <f>VLOOKUP(Table136[[#This Row],[Code]],Maine!A:F,6,0)</f>
        <v>13</v>
      </c>
      <c r="E80" s="11"/>
      <c r="F80" s="1">
        <f>Table136[[#This Row],[Box]]-Table136[[#This Row],[Order]]</f>
        <v>13</v>
      </c>
    </row>
    <row r="81" spans="1:6" x14ac:dyDescent="0.25">
      <c r="A81" s="1" t="s">
        <v>132</v>
      </c>
      <c r="B81" s="1" t="s">
        <v>182</v>
      </c>
      <c r="C81" s="1">
        <f>VLOOKUP(Table136[[#This Row],[Code]],'Main Storage'!A:D,3,0)</f>
        <v>1289</v>
      </c>
      <c r="D81" s="1">
        <f>VLOOKUP(Table136[[#This Row],[Code]],Maine!A:F,6,0)</f>
        <v>26</v>
      </c>
      <c r="E81" s="11"/>
      <c r="F81" s="1">
        <f>Table136[[#This Row],[Box]]-Table136[[#This Row],[Order]]</f>
        <v>26</v>
      </c>
    </row>
    <row r="82" spans="1:6" x14ac:dyDescent="0.25">
      <c r="A82" s="1" t="s">
        <v>133</v>
      </c>
      <c r="B82" s="1" t="s">
        <v>183</v>
      </c>
      <c r="C82" s="1">
        <f>VLOOKUP(Table136[[#This Row],[Code]],'Main Storage'!A:D,3,0)</f>
        <v>1227</v>
      </c>
      <c r="D82" s="1">
        <f>VLOOKUP(Table136[[#This Row],[Code]],Maine!A:F,6,0)</f>
        <v>25</v>
      </c>
      <c r="E82" s="11"/>
      <c r="F82" s="1">
        <f>Table136[[#This Row],[Box]]-Table136[[#This Row],[Order]]</f>
        <v>25</v>
      </c>
    </row>
    <row r="83" spans="1:6" x14ac:dyDescent="0.25">
      <c r="A83" s="1" t="s">
        <v>134</v>
      </c>
      <c r="B83" s="1" t="s">
        <v>184</v>
      </c>
      <c r="C83" s="1">
        <f>VLOOKUP(Table136[[#This Row],[Code]],'Main Storage'!A:D,3,0)</f>
        <v>1376</v>
      </c>
      <c r="D83" s="1">
        <f>VLOOKUP(Table136[[#This Row],[Code]],Maine!A:F,6,0)</f>
        <v>28</v>
      </c>
      <c r="E83" s="11"/>
      <c r="F83" s="1">
        <f>Table136[[#This Row],[Box]]-Table136[[#This Row],[Order]]</f>
        <v>28</v>
      </c>
    </row>
    <row r="84" spans="1:6" x14ac:dyDescent="0.25">
      <c r="A84" s="1" t="s">
        <v>135</v>
      </c>
      <c r="B84" s="1" t="s">
        <v>185</v>
      </c>
      <c r="C84" s="1">
        <f>VLOOKUP(Table136[[#This Row],[Code]],'Main Storage'!A:D,3,0)</f>
        <v>436</v>
      </c>
      <c r="D84" s="1">
        <f>VLOOKUP(Table136[[#This Row],[Code]],Maine!A:F,6,0)</f>
        <v>9</v>
      </c>
      <c r="E84" s="11"/>
      <c r="F84" s="1">
        <f>Table136[[#This Row],[Box]]-Table136[[#This Row],[Order]]</f>
        <v>9</v>
      </c>
    </row>
    <row r="85" spans="1:6" x14ac:dyDescent="0.25">
      <c r="A85" s="1" t="s">
        <v>136</v>
      </c>
      <c r="B85" s="1" t="s">
        <v>186</v>
      </c>
      <c r="C85" s="1">
        <f>VLOOKUP(Table136[[#This Row],[Code]],'Main Storage'!A:D,3,0)</f>
        <v>1340</v>
      </c>
      <c r="D85" s="1">
        <f>VLOOKUP(Table136[[#This Row],[Code]],Maine!A:F,6,0)</f>
        <v>27</v>
      </c>
      <c r="E85" s="11"/>
      <c r="F85" s="1">
        <f>Table136[[#This Row],[Box]]-Table136[[#This Row],[Order]]</f>
        <v>27</v>
      </c>
    </row>
    <row r="86" spans="1:6" x14ac:dyDescent="0.25">
      <c r="A86" s="1" t="s">
        <v>137</v>
      </c>
      <c r="B86" s="1" t="s">
        <v>187</v>
      </c>
      <c r="C86" s="1">
        <f>VLOOKUP(Table136[[#This Row],[Code]],'Main Storage'!A:D,3,0)</f>
        <v>1218</v>
      </c>
      <c r="D86" s="1">
        <f>VLOOKUP(Table136[[#This Row],[Code]],Maine!A:F,6,0)</f>
        <v>25</v>
      </c>
      <c r="E86" s="11"/>
      <c r="F86" s="1">
        <f>Table136[[#This Row],[Box]]-Table136[[#This Row],[Order]]</f>
        <v>25</v>
      </c>
    </row>
    <row r="87" spans="1:6" x14ac:dyDescent="0.25">
      <c r="A87" s="1" t="s">
        <v>138</v>
      </c>
      <c r="B87" s="1" t="s">
        <v>188</v>
      </c>
      <c r="C87" s="1">
        <f>VLOOKUP(Table136[[#This Row],[Code]],'Main Storage'!A:D,3,0)</f>
        <v>848</v>
      </c>
      <c r="D87" s="1">
        <f>VLOOKUP(Table136[[#This Row],[Code]],Maine!A:F,6,0)</f>
        <v>17</v>
      </c>
      <c r="E87" s="11"/>
      <c r="F87" s="1">
        <f>Table136[[#This Row],[Box]]-Table136[[#This Row],[Order]]</f>
        <v>17</v>
      </c>
    </row>
    <row r="88" spans="1:6" x14ac:dyDescent="0.25">
      <c r="A88" s="1" t="s">
        <v>139</v>
      </c>
      <c r="B88" s="1" t="s">
        <v>189</v>
      </c>
      <c r="C88" s="1">
        <f>VLOOKUP(Table136[[#This Row],[Code]],'Main Storage'!A:D,3,0)</f>
        <v>1490</v>
      </c>
      <c r="D88" s="1">
        <f>VLOOKUP(Table136[[#This Row],[Code]],Maine!A:F,6,0)</f>
        <v>31</v>
      </c>
      <c r="E88" s="11"/>
      <c r="F88" s="1">
        <f>Table136[[#This Row],[Box]]-Table136[[#This Row],[Order]]</f>
        <v>31</v>
      </c>
    </row>
    <row r="89" spans="1:6" x14ac:dyDescent="0.25">
      <c r="A89" s="1" t="s">
        <v>140</v>
      </c>
      <c r="B89" s="1" t="s">
        <v>190</v>
      </c>
      <c r="C89" s="1">
        <f>VLOOKUP(Table136[[#This Row],[Code]],'Main Storage'!A:D,3,0)</f>
        <v>1162</v>
      </c>
      <c r="D89" s="1">
        <f>VLOOKUP(Table136[[#This Row],[Code]],Maine!A:F,6,0)</f>
        <v>24</v>
      </c>
      <c r="E89" s="11"/>
      <c r="F89" s="1">
        <f>Table136[[#This Row],[Box]]-Table136[[#This Row],[Order]]</f>
        <v>24</v>
      </c>
    </row>
    <row r="90" spans="1:6" x14ac:dyDescent="0.25">
      <c r="A90" s="1" t="s">
        <v>141</v>
      </c>
      <c r="B90" s="1" t="s">
        <v>191</v>
      </c>
      <c r="C90" s="1">
        <f>VLOOKUP(Table136[[#This Row],[Code]],'Main Storage'!A:D,3,0)</f>
        <v>431</v>
      </c>
      <c r="D90" s="1">
        <f>VLOOKUP(Table136[[#This Row],[Code]],Maine!A:F,6,0)</f>
        <v>8</v>
      </c>
      <c r="E90" s="11"/>
      <c r="F90" s="1">
        <f>Table136[[#This Row],[Box]]-Table136[[#This Row],[Order]]</f>
        <v>8</v>
      </c>
    </row>
    <row r="91" spans="1:6" x14ac:dyDescent="0.25">
      <c r="A91" s="1" t="s">
        <v>142</v>
      </c>
      <c r="B91" s="1" t="s">
        <v>192</v>
      </c>
      <c r="C91" s="1">
        <f>VLOOKUP(Table136[[#This Row],[Code]],'Main Storage'!A:D,3,0)</f>
        <v>496</v>
      </c>
      <c r="D91" s="1">
        <f>VLOOKUP(Table136[[#This Row],[Code]],Maine!A:F,6,0)</f>
        <v>10</v>
      </c>
      <c r="E91" s="11"/>
      <c r="F91" s="1">
        <f>Table136[[#This Row],[Box]]-Table136[[#This Row],[Order]]</f>
        <v>10</v>
      </c>
    </row>
    <row r="92" spans="1:6" x14ac:dyDescent="0.25">
      <c r="A92" s="1" t="s">
        <v>143</v>
      </c>
      <c r="B92" s="1" t="s">
        <v>193</v>
      </c>
      <c r="C92" s="1">
        <f>VLOOKUP(Table136[[#This Row],[Code]],'Main Storage'!A:D,3,0)</f>
        <v>1340</v>
      </c>
      <c r="D92" s="1">
        <f>VLOOKUP(Table136[[#This Row],[Code]],Maine!A:F,6,0)</f>
        <v>27</v>
      </c>
      <c r="E92" s="11"/>
      <c r="F92" s="1">
        <f>Table136[[#This Row],[Box]]-Table136[[#This Row],[Order]]</f>
        <v>27</v>
      </c>
    </row>
    <row r="93" spans="1:6" x14ac:dyDescent="0.25">
      <c r="A93" s="1" t="s">
        <v>144</v>
      </c>
      <c r="B93" s="1" t="s">
        <v>194</v>
      </c>
      <c r="C93" s="1">
        <f>VLOOKUP(Table136[[#This Row],[Code]],'Main Storage'!A:D,3,0)</f>
        <v>175</v>
      </c>
      <c r="D93" s="1">
        <f>VLOOKUP(Table136[[#This Row],[Code]],Maine!A:F,6,0)</f>
        <v>3</v>
      </c>
      <c r="E93" s="11"/>
      <c r="F93" s="1">
        <f>Table136[[#This Row],[Box]]-Table136[[#This Row],[Order]]</f>
        <v>3</v>
      </c>
    </row>
    <row r="94" spans="1:6" x14ac:dyDescent="0.25">
      <c r="A94" s="1" t="s">
        <v>145</v>
      </c>
      <c r="B94" s="1" t="s">
        <v>195</v>
      </c>
      <c r="C94" s="1">
        <f>VLOOKUP(Table136[[#This Row],[Code]],'Main Storage'!A:D,3,0)</f>
        <v>1164</v>
      </c>
      <c r="D94" s="1">
        <f>VLOOKUP(Table136[[#This Row],[Code]],Maine!A:F,6,0)</f>
        <v>24</v>
      </c>
      <c r="E94" s="11"/>
      <c r="F94" s="1">
        <f>Table136[[#This Row],[Box]]-Table136[[#This Row],[Order]]</f>
        <v>24</v>
      </c>
    </row>
    <row r="95" spans="1:6" x14ac:dyDescent="0.25">
      <c r="A95" s="1" t="s">
        <v>146</v>
      </c>
      <c r="B95" s="1" t="s">
        <v>196</v>
      </c>
      <c r="C95" s="1">
        <f>VLOOKUP(Table136[[#This Row],[Code]],'Main Storage'!A:D,3,0)</f>
        <v>610</v>
      </c>
      <c r="D95" s="1">
        <f>VLOOKUP(Table136[[#This Row],[Code]],Maine!A:F,6,0)</f>
        <v>12</v>
      </c>
      <c r="E95" s="11"/>
      <c r="F95" s="1">
        <f>Table136[[#This Row],[Box]]-Table136[[#This Row],[Order]]</f>
        <v>12</v>
      </c>
    </row>
    <row r="96" spans="1:6" x14ac:dyDescent="0.25">
      <c r="A96" s="1" t="s">
        <v>147</v>
      </c>
      <c r="B96" s="1" t="s">
        <v>197</v>
      </c>
      <c r="C96" s="1">
        <f>VLOOKUP(Table136[[#This Row],[Code]],'Main Storage'!A:D,3,0)</f>
        <v>26</v>
      </c>
      <c r="D96" s="1">
        <f>VLOOKUP(Table136[[#This Row],[Code]],Maine!A:F,6,0)</f>
        <v>0</v>
      </c>
      <c r="E96" s="11"/>
      <c r="F96" s="1">
        <f>Table136[[#This Row],[Box]]-Table136[[#This Row],[Order]]</f>
        <v>0</v>
      </c>
    </row>
    <row r="97" spans="1:6" x14ac:dyDescent="0.25">
      <c r="A97" s="1" t="s">
        <v>148</v>
      </c>
      <c r="B97" s="1" t="s">
        <v>198</v>
      </c>
      <c r="C97" s="1">
        <f>VLOOKUP(Table136[[#This Row],[Code]],'Main Storage'!A:D,3,0)</f>
        <v>122</v>
      </c>
      <c r="D97" s="1">
        <f>VLOOKUP(Table136[[#This Row],[Code]],Maine!A:F,6,0)</f>
        <v>2</v>
      </c>
      <c r="E97" s="11"/>
      <c r="F97" s="1">
        <f>Table136[[#This Row],[Box]]-Table136[[#This Row],[Order]]</f>
        <v>2</v>
      </c>
    </row>
    <row r="98" spans="1:6" x14ac:dyDescent="0.25">
      <c r="A98" s="1" t="s">
        <v>149</v>
      </c>
      <c r="B98" s="1" t="s">
        <v>199</v>
      </c>
      <c r="C98" s="1">
        <f>VLOOKUP(Table136[[#This Row],[Code]],'Main Storage'!A:D,3,0)</f>
        <v>154</v>
      </c>
      <c r="D98" s="1">
        <f>VLOOKUP(Table136[[#This Row],[Code]],Maine!A:F,6,0)</f>
        <v>3</v>
      </c>
      <c r="E98" s="11"/>
      <c r="F98" s="1">
        <f>Table136[[#This Row],[Box]]-Table136[[#This Row],[Order]]</f>
        <v>3</v>
      </c>
    </row>
    <row r="99" spans="1:6" x14ac:dyDescent="0.25">
      <c r="A99" s="1" t="s">
        <v>150</v>
      </c>
      <c r="B99" s="1" t="s">
        <v>200</v>
      </c>
      <c r="C99" s="1">
        <f>VLOOKUP(Table136[[#This Row],[Code]],'Main Storage'!A:D,3,0)</f>
        <v>1050</v>
      </c>
      <c r="D99" s="1">
        <f>VLOOKUP(Table136[[#This Row],[Code]],Maine!A:F,6,0)</f>
        <v>21</v>
      </c>
      <c r="E99" s="11"/>
      <c r="F99" s="1">
        <f>Table136[[#This Row],[Box]]-Table136[[#This Row],[Order]]</f>
        <v>21</v>
      </c>
    </row>
    <row r="100" spans="1:6" x14ac:dyDescent="0.25">
      <c r="A100" s="1" t="s">
        <v>151</v>
      </c>
      <c r="B100" s="1" t="s">
        <v>201</v>
      </c>
      <c r="C100" s="1">
        <f>VLOOKUP(Table136[[#This Row],[Code]],'Main Storage'!A:D,3,0)</f>
        <v>1337</v>
      </c>
      <c r="D100" s="1">
        <f>VLOOKUP(Table136[[#This Row],[Code]],Maine!A:F,6,0)</f>
        <v>27</v>
      </c>
      <c r="E100" s="11"/>
      <c r="F100" s="1">
        <f>Table136[[#This Row],[Box]]-Table136[[#This Row],[Order]]</f>
        <v>27</v>
      </c>
    </row>
    <row r="101" spans="1:6" x14ac:dyDescent="0.25">
      <c r="A101" s="1" t="s">
        <v>204</v>
      </c>
      <c r="B101" s="1" t="s">
        <v>205</v>
      </c>
      <c r="C101" s="1">
        <f>VLOOKUP(Table136[[#This Row],[Code]],'Main Storage'!A:D,3,0)</f>
        <v>330</v>
      </c>
      <c r="D101" s="1">
        <f>VLOOKUP(Table136[[#This Row],[Code]],Maine!A:F,6,0)</f>
        <v>2</v>
      </c>
      <c r="E101" s="11"/>
      <c r="F101" s="1">
        <f>Table136[[#This Row],[Box]]-Table136[[#This Row],[Order]]</f>
        <v>2</v>
      </c>
    </row>
    <row r="102" spans="1:6" x14ac:dyDescent="0.25">
      <c r="A102" s="1" t="s">
        <v>206</v>
      </c>
      <c r="B102" s="1" t="s">
        <v>207</v>
      </c>
      <c r="C102" s="1">
        <f>VLOOKUP(Table136[[#This Row],[Code]],'Main Storage'!A:D,3,0)</f>
        <v>737</v>
      </c>
      <c r="D102" s="1">
        <f>VLOOKUP(Table136[[#This Row],[Code]],Maine!A:F,6,0)</f>
        <v>6</v>
      </c>
      <c r="E102" s="11"/>
      <c r="F102" s="1">
        <f>Table136[[#This Row],[Box]]-Table136[[#This Row],[Order]]</f>
        <v>6</v>
      </c>
    </row>
    <row r="103" spans="1:6" x14ac:dyDescent="0.25">
      <c r="A103" s="1" t="s">
        <v>208</v>
      </c>
      <c r="B103" s="1" t="s">
        <v>209</v>
      </c>
      <c r="C103" s="1">
        <f>VLOOKUP(Table136[[#This Row],[Code]],'Main Storage'!A:D,3,0)</f>
        <v>811</v>
      </c>
      <c r="D103" s="1">
        <f>VLOOKUP(Table136[[#This Row],[Code]],Maine!A:F,6,0)</f>
        <v>6</v>
      </c>
      <c r="E103" s="11"/>
      <c r="F103" s="1">
        <f>Table136[[#This Row],[Box]]-Table136[[#This Row],[Order]]</f>
        <v>6</v>
      </c>
    </row>
    <row r="104" spans="1:6" x14ac:dyDescent="0.25">
      <c r="A104" s="1" t="s">
        <v>210</v>
      </c>
      <c r="B104" s="1" t="s">
        <v>211</v>
      </c>
      <c r="C104" s="1">
        <f>VLOOKUP(Table136[[#This Row],[Code]],'Main Storage'!A:D,3,0)</f>
        <v>533</v>
      </c>
      <c r="D104" s="1">
        <f>VLOOKUP(Table136[[#This Row],[Code]],Maine!A:F,6,0)</f>
        <v>4</v>
      </c>
      <c r="E104" s="11"/>
      <c r="F104" s="1">
        <f>Table136[[#This Row],[Box]]-Table136[[#This Row],[Order]]</f>
        <v>4</v>
      </c>
    </row>
    <row r="105" spans="1:6" x14ac:dyDescent="0.25">
      <c r="A105" s="1" t="s">
        <v>212</v>
      </c>
      <c r="B105" s="1" t="s">
        <v>213</v>
      </c>
      <c r="C105" s="1">
        <f>VLOOKUP(Table136[[#This Row],[Code]],'Main Storage'!A:D,3,0)</f>
        <v>1484</v>
      </c>
      <c r="D105" s="1">
        <f>VLOOKUP(Table136[[#This Row],[Code]],Maine!A:F,6,0)</f>
        <v>12</v>
      </c>
      <c r="E105" s="11"/>
      <c r="F105" s="1">
        <f>Table136[[#This Row],[Box]]-Table136[[#This Row],[Order]]</f>
        <v>12</v>
      </c>
    </row>
    <row r="106" spans="1:6" x14ac:dyDescent="0.25">
      <c r="A106" s="1" t="s">
        <v>214</v>
      </c>
      <c r="B106" s="1" t="s">
        <v>215</v>
      </c>
      <c r="C106" s="1">
        <f>VLOOKUP(Table136[[#This Row],[Code]],'Main Storage'!A:D,3,0)</f>
        <v>521</v>
      </c>
      <c r="D106" s="1">
        <f>VLOOKUP(Table136[[#This Row],[Code]],Maine!A:F,6,0)</f>
        <v>4</v>
      </c>
      <c r="E106" s="11"/>
      <c r="F106" s="1">
        <f>Table136[[#This Row],[Box]]-Table136[[#This Row],[Order]]</f>
        <v>4</v>
      </c>
    </row>
    <row r="107" spans="1:6" x14ac:dyDescent="0.25">
      <c r="A107" s="1" t="s">
        <v>216</v>
      </c>
      <c r="B107" s="1" t="s">
        <v>217</v>
      </c>
      <c r="C107" s="1">
        <f>VLOOKUP(Table136[[#This Row],[Code]],'Main Storage'!A:D,3,0)</f>
        <v>240</v>
      </c>
      <c r="D107" s="1">
        <f>VLOOKUP(Table136[[#This Row],[Code]],Maine!A:F,6,0)</f>
        <v>2</v>
      </c>
      <c r="E107" s="11"/>
      <c r="F107" s="1">
        <f>Table136[[#This Row],[Box]]-Table136[[#This Row],[Order]]</f>
        <v>2</v>
      </c>
    </row>
    <row r="108" spans="1:6" x14ac:dyDescent="0.25">
      <c r="A108" s="1" t="s">
        <v>218</v>
      </c>
      <c r="B108" s="1" t="s">
        <v>219</v>
      </c>
      <c r="C108" s="1">
        <f>VLOOKUP(Table136[[#This Row],[Code]],'Main Storage'!A:D,3,0)</f>
        <v>946</v>
      </c>
      <c r="D108" s="1">
        <f>VLOOKUP(Table136[[#This Row],[Code]],Maine!A:F,6,0)</f>
        <v>7</v>
      </c>
      <c r="E108" s="11"/>
      <c r="F108" s="1">
        <f>Table136[[#This Row],[Box]]-Table136[[#This Row],[Order]]</f>
        <v>7</v>
      </c>
    </row>
    <row r="109" spans="1:6" x14ac:dyDescent="0.25">
      <c r="A109" s="1" t="s">
        <v>220</v>
      </c>
      <c r="B109" s="1" t="s">
        <v>221</v>
      </c>
      <c r="C109" s="1">
        <f>VLOOKUP(Table136[[#This Row],[Code]],'Main Storage'!A:D,3,0)</f>
        <v>1447</v>
      </c>
      <c r="D109" s="1">
        <f>VLOOKUP(Table136[[#This Row],[Code]],Maine!A:F,6,0)</f>
        <v>12</v>
      </c>
      <c r="E109" s="11"/>
      <c r="F109" s="1">
        <f>Table136[[#This Row],[Box]]-Table136[[#This Row],[Order]]</f>
        <v>12</v>
      </c>
    </row>
    <row r="110" spans="1:6" x14ac:dyDescent="0.25">
      <c r="A110" s="1" t="s">
        <v>222</v>
      </c>
      <c r="B110" s="1" t="s">
        <v>223</v>
      </c>
      <c r="C110" s="1">
        <f>VLOOKUP(Table136[[#This Row],[Code]],'Main Storage'!A:D,3,0)</f>
        <v>489</v>
      </c>
      <c r="D110" s="1">
        <f>VLOOKUP(Table136[[#This Row],[Code]],Maine!A:F,6,0)</f>
        <v>4</v>
      </c>
      <c r="E110" s="11"/>
      <c r="F110" s="1">
        <f>Table136[[#This Row],[Box]]-Table136[[#This Row],[Order]]</f>
        <v>4</v>
      </c>
    </row>
    <row r="111" spans="1:6" x14ac:dyDescent="0.25">
      <c r="A111" s="1" t="s">
        <v>224</v>
      </c>
      <c r="B111" s="1" t="s">
        <v>225</v>
      </c>
      <c r="C111" s="1">
        <f>VLOOKUP(Table136[[#This Row],[Code]],'Main Storage'!A:D,3,0)</f>
        <v>641</v>
      </c>
      <c r="D111" s="1">
        <f>VLOOKUP(Table136[[#This Row],[Code]],Maine!A:F,6,0)</f>
        <v>5</v>
      </c>
      <c r="E111" s="11"/>
      <c r="F111" s="1">
        <f>Table136[[#This Row],[Box]]-Table136[[#This Row],[Order]]</f>
        <v>5</v>
      </c>
    </row>
    <row r="112" spans="1:6" x14ac:dyDescent="0.25">
      <c r="A112" s="1" t="s">
        <v>226</v>
      </c>
      <c r="B112" s="1" t="s">
        <v>227</v>
      </c>
      <c r="C112" s="1">
        <f>VLOOKUP(Table136[[#This Row],[Code]],'Main Storage'!A:D,3,0)</f>
        <v>790</v>
      </c>
      <c r="D112" s="1">
        <f>VLOOKUP(Table136[[#This Row],[Code]],Maine!A:F,6,0)</f>
        <v>6</v>
      </c>
      <c r="E112" s="11"/>
      <c r="F112" s="1">
        <f>Table136[[#This Row],[Box]]-Table136[[#This Row],[Order]]</f>
        <v>6</v>
      </c>
    </row>
    <row r="113" spans="1:6" x14ac:dyDescent="0.25">
      <c r="A113" s="1" t="s">
        <v>228</v>
      </c>
      <c r="B113" s="1" t="s">
        <v>229</v>
      </c>
      <c r="C113" s="1">
        <f>VLOOKUP(Table136[[#This Row],[Code]],'Main Storage'!A:D,3,0)</f>
        <v>1153</v>
      </c>
      <c r="D113" s="1">
        <f>VLOOKUP(Table136[[#This Row],[Code]],Maine!A:F,6,0)</f>
        <v>9</v>
      </c>
      <c r="E113" s="11"/>
      <c r="F113" s="1">
        <f>Table136[[#This Row],[Box]]-Table136[[#This Row],[Order]]</f>
        <v>9</v>
      </c>
    </row>
    <row r="114" spans="1:6" x14ac:dyDescent="0.25">
      <c r="A114" s="1" t="s">
        <v>230</v>
      </c>
      <c r="B114" s="1" t="s">
        <v>231</v>
      </c>
      <c r="C114" s="1">
        <f>VLOOKUP(Table136[[#This Row],[Code]],'Main Storage'!A:D,3,0)</f>
        <v>983</v>
      </c>
      <c r="D114" s="1">
        <f>VLOOKUP(Table136[[#This Row],[Code]],Maine!A:F,6,0)</f>
        <v>8</v>
      </c>
      <c r="E114" s="11"/>
      <c r="F114" s="1">
        <f>Table136[[#This Row],[Box]]-Table136[[#This Row],[Order]]</f>
        <v>8</v>
      </c>
    </row>
    <row r="115" spans="1:6" x14ac:dyDescent="0.25">
      <c r="A115" s="1" t="s">
        <v>232</v>
      </c>
      <c r="B115" s="1" t="s">
        <v>233</v>
      </c>
      <c r="C115" s="1">
        <f>VLOOKUP(Table136[[#This Row],[Code]],'Main Storage'!A:D,3,0)</f>
        <v>853</v>
      </c>
      <c r="D115" s="1">
        <f>VLOOKUP(Table136[[#This Row],[Code]],Maine!A:F,6,0)</f>
        <v>7</v>
      </c>
      <c r="E115" s="11"/>
      <c r="F115" s="1">
        <f>Table136[[#This Row],[Box]]-Table136[[#This Row],[Order]]</f>
        <v>7</v>
      </c>
    </row>
    <row r="116" spans="1:6" x14ac:dyDescent="0.25">
      <c r="A116" s="1" t="s">
        <v>234</v>
      </c>
      <c r="B116" s="1" t="s">
        <v>235</v>
      </c>
      <c r="C116" s="1">
        <f>VLOOKUP(Table136[[#This Row],[Code]],'Main Storage'!A:D,3,0)</f>
        <v>356</v>
      </c>
      <c r="D116" s="1">
        <f>VLOOKUP(Table136[[#This Row],[Code]],Maine!A:F,6,0)</f>
        <v>2</v>
      </c>
      <c r="E116" s="11"/>
      <c r="F116" s="1">
        <f>Table136[[#This Row],[Box]]-Table136[[#This Row],[Order]]</f>
        <v>2</v>
      </c>
    </row>
    <row r="117" spans="1:6" x14ac:dyDescent="0.25">
      <c r="A117" s="1" t="s">
        <v>236</v>
      </c>
      <c r="B117" s="1" t="s">
        <v>237</v>
      </c>
      <c r="C117" s="1">
        <f>VLOOKUP(Table136[[#This Row],[Code]],'Main Storage'!A:D,3,0)</f>
        <v>556</v>
      </c>
      <c r="D117" s="1">
        <f>VLOOKUP(Table136[[#This Row],[Code]],Maine!A:F,6,0)</f>
        <v>4</v>
      </c>
      <c r="E117" s="11"/>
      <c r="F117" s="1">
        <f>Table136[[#This Row],[Box]]-Table136[[#This Row],[Order]]</f>
        <v>4</v>
      </c>
    </row>
    <row r="118" spans="1:6" x14ac:dyDescent="0.25">
      <c r="A118" s="1" t="s">
        <v>238</v>
      </c>
      <c r="B118" s="1" t="s">
        <v>239</v>
      </c>
      <c r="C118" s="1">
        <f>VLOOKUP(Table136[[#This Row],[Code]],'Main Storage'!A:D,3,0)</f>
        <v>768</v>
      </c>
      <c r="D118" s="1">
        <f>VLOOKUP(Table136[[#This Row],[Code]],Maine!A:F,6,0)</f>
        <v>6</v>
      </c>
      <c r="E118" s="11"/>
      <c r="F118" s="1">
        <f>Table136[[#This Row],[Box]]-Table136[[#This Row],[Order]]</f>
        <v>6</v>
      </c>
    </row>
    <row r="119" spans="1:6" x14ac:dyDescent="0.25">
      <c r="A119" s="1" t="s">
        <v>240</v>
      </c>
      <c r="B119" s="1" t="s">
        <v>241</v>
      </c>
      <c r="C119" s="1">
        <f>VLOOKUP(Table136[[#This Row],[Code]],'Main Storage'!A:D,3,0)</f>
        <v>582</v>
      </c>
      <c r="D119" s="1">
        <f>VLOOKUP(Table136[[#This Row],[Code]],Maine!A:F,6,0)</f>
        <v>4</v>
      </c>
      <c r="E119" s="11"/>
      <c r="F119" s="1">
        <f>Table136[[#This Row],[Box]]-Table136[[#This Row],[Order]]</f>
        <v>4</v>
      </c>
    </row>
    <row r="120" spans="1:6" x14ac:dyDescent="0.25">
      <c r="A120" s="1" t="s">
        <v>242</v>
      </c>
      <c r="B120" s="1" t="s">
        <v>243</v>
      </c>
      <c r="C120" s="1">
        <f>VLOOKUP(Table136[[#This Row],[Code]],'Main Storage'!A:D,3,0)</f>
        <v>467</v>
      </c>
      <c r="D120" s="1">
        <f>VLOOKUP(Table136[[#This Row],[Code]],Maine!A:F,6,0)</f>
        <v>3</v>
      </c>
      <c r="E120" s="11"/>
      <c r="F120" s="1">
        <f>Table136[[#This Row],[Box]]-Table136[[#This Row],[Order]]</f>
        <v>3</v>
      </c>
    </row>
    <row r="121" spans="1:6" x14ac:dyDescent="0.25">
      <c r="A121" s="1" t="s">
        <v>244</v>
      </c>
      <c r="B121" s="1" t="s">
        <v>245</v>
      </c>
      <c r="C121" s="1">
        <f>VLOOKUP(Table136[[#This Row],[Code]],'Main Storage'!A:D,3,0)</f>
        <v>47</v>
      </c>
      <c r="D121" s="1">
        <f>VLOOKUP(Table136[[#This Row],[Code]],Maine!A:F,6,0)</f>
        <v>0</v>
      </c>
      <c r="E121" s="11"/>
      <c r="F121" s="1">
        <f>Table136[[#This Row],[Box]]-Table136[[#This Row],[Order]]</f>
        <v>0</v>
      </c>
    </row>
    <row r="122" spans="1:6" x14ac:dyDescent="0.25">
      <c r="A122" s="1" t="s">
        <v>246</v>
      </c>
      <c r="B122" s="1" t="s">
        <v>247</v>
      </c>
      <c r="C122" s="1">
        <f>VLOOKUP(Table136[[#This Row],[Code]],'Main Storage'!A:D,3,0)</f>
        <v>463</v>
      </c>
      <c r="D122" s="1">
        <f>VLOOKUP(Table136[[#This Row],[Code]],Maine!A:F,6,0)</f>
        <v>3</v>
      </c>
      <c r="E122" s="11"/>
      <c r="F122" s="1">
        <f>Table136[[#This Row],[Box]]-Table136[[#This Row],[Order]]</f>
        <v>3</v>
      </c>
    </row>
    <row r="123" spans="1:6" x14ac:dyDescent="0.25">
      <c r="A123" s="1" t="s">
        <v>248</v>
      </c>
      <c r="B123" s="1" t="s">
        <v>249</v>
      </c>
      <c r="C123" s="1">
        <f>VLOOKUP(Table136[[#This Row],[Code]],'Main Storage'!A:D,3,0)</f>
        <v>1434</v>
      </c>
      <c r="D123" s="1">
        <f>VLOOKUP(Table136[[#This Row],[Code]],Maine!A:F,6,0)</f>
        <v>11</v>
      </c>
      <c r="E123" s="11"/>
      <c r="F123" s="1">
        <f>Table136[[#This Row],[Box]]-Table136[[#This Row],[Order]]</f>
        <v>11</v>
      </c>
    </row>
    <row r="124" spans="1:6" x14ac:dyDescent="0.25">
      <c r="A124" s="1" t="s">
        <v>250</v>
      </c>
      <c r="B124" s="1" t="s">
        <v>251</v>
      </c>
      <c r="C124" s="1">
        <f>VLOOKUP(Table136[[#This Row],[Code]],'Main Storage'!A:D,3,0)</f>
        <v>399</v>
      </c>
      <c r="D124" s="1">
        <f>VLOOKUP(Table136[[#This Row],[Code]],Maine!A:F,6,0)</f>
        <v>3</v>
      </c>
      <c r="E124" s="11"/>
      <c r="F124" s="1">
        <f>Table136[[#This Row],[Box]]-Table136[[#This Row],[Order]]</f>
        <v>3</v>
      </c>
    </row>
    <row r="125" spans="1:6" x14ac:dyDescent="0.25">
      <c r="A125" s="1" t="s">
        <v>252</v>
      </c>
      <c r="B125" s="1" t="s">
        <v>253</v>
      </c>
      <c r="C125" s="1">
        <f>VLOOKUP(Table136[[#This Row],[Code]],'Main Storage'!A:D,3,0)</f>
        <v>910</v>
      </c>
      <c r="D125" s="1">
        <f>VLOOKUP(Table136[[#This Row],[Code]],Maine!A:F,6,0)</f>
        <v>7</v>
      </c>
      <c r="E125" s="11"/>
      <c r="F125" s="1">
        <f>Table136[[#This Row],[Box]]-Table136[[#This Row],[Order]]</f>
        <v>7</v>
      </c>
    </row>
    <row r="126" spans="1:6" x14ac:dyDescent="0.25">
      <c r="A126" s="1" t="s">
        <v>254</v>
      </c>
      <c r="B126" s="1" t="s">
        <v>255</v>
      </c>
      <c r="C126" s="1">
        <f>VLOOKUP(Table136[[#This Row],[Code]],'Main Storage'!A:D,3,0)</f>
        <v>710</v>
      </c>
      <c r="D126" s="1">
        <f>VLOOKUP(Table136[[#This Row],[Code]],Maine!A:F,6,0)</f>
        <v>5</v>
      </c>
      <c r="E126" s="11"/>
      <c r="F126" s="1">
        <f>Table136[[#This Row],[Box]]-Table136[[#This Row],[Order]]</f>
        <v>5</v>
      </c>
    </row>
    <row r="127" spans="1:6" x14ac:dyDescent="0.25">
      <c r="A127" s="1" t="s">
        <v>256</v>
      </c>
      <c r="B127" s="1" t="s">
        <v>257</v>
      </c>
      <c r="C127" s="1">
        <f>VLOOKUP(Table136[[#This Row],[Code]],'Main Storage'!A:D,3,0)</f>
        <v>977</v>
      </c>
      <c r="D127" s="1">
        <f>VLOOKUP(Table136[[#This Row],[Code]],Maine!A:F,6,0)</f>
        <v>8</v>
      </c>
      <c r="E127" s="11"/>
      <c r="F127" s="1">
        <f>Table136[[#This Row],[Box]]-Table136[[#This Row],[Order]]</f>
        <v>8</v>
      </c>
    </row>
    <row r="128" spans="1:6" x14ac:dyDescent="0.25">
      <c r="A128" s="1" t="s">
        <v>258</v>
      </c>
      <c r="B128" s="1" t="s">
        <v>259</v>
      </c>
      <c r="C128" s="1">
        <f>VLOOKUP(Table136[[#This Row],[Code]],'Main Storage'!A:D,3,0)</f>
        <v>592</v>
      </c>
      <c r="D128" s="1">
        <f>VLOOKUP(Table136[[#This Row],[Code]],Maine!A:F,6,0)</f>
        <v>4</v>
      </c>
      <c r="E128" s="11"/>
      <c r="F128" s="1">
        <f>Table136[[#This Row],[Box]]-Table136[[#This Row],[Order]]</f>
        <v>4</v>
      </c>
    </row>
    <row r="129" spans="1:6" x14ac:dyDescent="0.25">
      <c r="A129" s="1" t="s">
        <v>260</v>
      </c>
      <c r="B129" s="1" t="s">
        <v>261</v>
      </c>
      <c r="C129" s="1">
        <f>VLOOKUP(Table136[[#This Row],[Code]],'Main Storage'!A:D,3,0)</f>
        <v>576</v>
      </c>
      <c r="D129" s="1">
        <f>VLOOKUP(Table136[[#This Row],[Code]],Maine!A:F,6,0)</f>
        <v>4</v>
      </c>
      <c r="E129" s="11"/>
      <c r="F129" s="1">
        <f>Table136[[#This Row],[Box]]-Table136[[#This Row],[Order]]</f>
        <v>4</v>
      </c>
    </row>
    <row r="130" spans="1:6" x14ac:dyDescent="0.25">
      <c r="A130" s="1" t="s">
        <v>262</v>
      </c>
      <c r="B130" s="1" t="s">
        <v>263</v>
      </c>
      <c r="C130" s="1">
        <f>VLOOKUP(Table136[[#This Row],[Code]],'Main Storage'!A:D,3,0)</f>
        <v>565</v>
      </c>
      <c r="D130" s="1">
        <f>VLOOKUP(Table136[[#This Row],[Code]],Maine!A:F,6,0)</f>
        <v>4</v>
      </c>
      <c r="E130" s="11"/>
      <c r="F130" s="1">
        <f>Table136[[#This Row],[Box]]-Table136[[#This Row],[Order]]</f>
        <v>4</v>
      </c>
    </row>
    <row r="131" spans="1:6" x14ac:dyDescent="0.25">
      <c r="A131" s="1" t="s">
        <v>264</v>
      </c>
      <c r="B131" s="1" t="s">
        <v>265</v>
      </c>
      <c r="C131" s="1">
        <f>VLOOKUP(Table136[[#This Row],[Code]],'Main Storage'!A:D,3,0)</f>
        <v>931</v>
      </c>
      <c r="D131" s="1">
        <f>VLOOKUP(Table136[[#This Row],[Code]],Maine!A:F,6,0)</f>
        <v>7</v>
      </c>
      <c r="E131" s="11"/>
      <c r="F131" s="1">
        <f>Table136[[#This Row],[Box]]-Table136[[#This Row],[Order]]</f>
        <v>7</v>
      </c>
    </row>
    <row r="132" spans="1:6" x14ac:dyDescent="0.25">
      <c r="A132" s="1" t="s">
        <v>266</v>
      </c>
      <c r="B132" s="1" t="s">
        <v>267</v>
      </c>
      <c r="C132" s="1">
        <f>VLOOKUP(Table136[[#This Row],[Code]],'Main Storage'!A:D,3,0)</f>
        <v>791</v>
      </c>
      <c r="D132" s="1">
        <f>VLOOKUP(Table136[[#This Row],[Code]],Maine!A:F,6,0)</f>
        <v>6</v>
      </c>
      <c r="E132" s="11"/>
      <c r="F132" s="1">
        <f>Table136[[#This Row],[Box]]-Table136[[#This Row],[Order]]</f>
        <v>6</v>
      </c>
    </row>
    <row r="133" spans="1:6" x14ac:dyDescent="0.25">
      <c r="A133" s="1" t="s">
        <v>268</v>
      </c>
      <c r="B133" s="1" t="s">
        <v>269</v>
      </c>
      <c r="C133" s="1">
        <f>VLOOKUP(Table136[[#This Row],[Code]],'Main Storage'!A:D,3,0)</f>
        <v>274</v>
      </c>
      <c r="D133" s="1">
        <f>VLOOKUP(Table136[[#This Row],[Code]],Maine!A:F,6,0)</f>
        <v>2</v>
      </c>
      <c r="E133" s="11"/>
      <c r="F133" s="1">
        <f>Table136[[#This Row],[Box]]-Table136[[#This Row],[Order]]</f>
        <v>2</v>
      </c>
    </row>
    <row r="134" spans="1:6" x14ac:dyDescent="0.25">
      <c r="A134" s="1" t="s">
        <v>270</v>
      </c>
      <c r="B134" s="1" t="s">
        <v>271</v>
      </c>
      <c r="C134" s="1">
        <f>VLOOKUP(Table136[[#This Row],[Code]],'Main Storage'!A:D,3,0)</f>
        <v>640</v>
      </c>
      <c r="D134" s="1">
        <f>VLOOKUP(Table136[[#This Row],[Code]],Maine!A:F,6,0)</f>
        <v>5</v>
      </c>
      <c r="E134" s="11"/>
      <c r="F134" s="1">
        <f>Table136[[#This Row],[Box]]-Table136[[#This Row],[Order]]</f>
        <v>5</v>
      </c>
    </row>
    <row r="135" spans="1:6" x14ac:dyDescent="0.25">
      <c r="A135" s="1" t="s">
        <v>272</v>
      </c>
      <c r="B135" s="1" t="s">
        <v>273</v>
      </c>
      <c r="C135" s="1">
        <f>VLOOKUP(Table136[[#This Row],[Code]],'Main Storage'!A:D,3,0)</f>
        <v>1239</v>
      </c>
      <c r="D135" s="1">
        <f>VLOOKUP(Table136[[#This Row],[Code]],Maine!A:F,6,0)</f>
        <v>10</v>
      </c>
      <c r="E135" s="11"/>
      <c r="F135" s="1">
        <f>Table136[[#This Row],[Box]]-Table136[[#This Row],[Order]]</f>
        <v>10</v>
      </c>
    </row>
    <row r="136" spans="1:6" x14ac:dyDescent="0.25">
      <c r="A136" s="1" t="s">
        <v>274</v>
      </c>
      <c r="B136" s="1" t="s">
        <v>275</v>
      </c>
      <c r="C136" s="1">
        <f>VLOOKUP(Table136[[#This Row],[Code]],'Main Storage'!A:D,3,0)</f>
        <v>359</v>
      </c>
      <c r="D136" s="1">
        <f>VLOOKUP(Table136[[#This Row],[Code]],Maine!A:F,6,0)</f>
        <v>2</v>
      </c>
      <c r="E136" s="11"/>
      <c r="F136" s="1">
        <f>Table136[[#This Row],[Box]]-Table136[[#This Row],[Order]]</f>
        <v>2</v>
      </c>
    </row>
    <row r="137" spans="1:6" x14ac:dyDescent="0.25">
      <c r="A137" s="1" t="s">
        <v>276</v>
      </c>
      <c r="B137" s="1" t="s">
        <v>277</v>
      </c>
      <c r="C137" s="1">
        <f>VLOOKUP(Table136[[#This Row],[Code]],'Main Storage'!A:D,3,0)</f>
        <v>495</v>
      </c>
      <c r="D137" s="1">
        <f>VLOOKUP(Table136[[#This Row],[Code]],Maine!A:F,6,0)</f>
        <v>4</v>
      </c>
      <c r="E137" s="11"/>
      <c r="F137" s="1">
        <f>Table136[[#This Row],[Box]]-Table136[[#This Row],[Order]]</f>
        <v>4</v>
      </c>
    </row>
    <row r="138" spans="1:6" x14ac:dyDescent="0.25">
      <c r="A138" s="1" t="s">
        <v>278</v>
      </c>
      <c r="B138" s="1" t="s">
        <v>279</v>
      </c>
      <c r="C138" s="1">
        <f>VLOOKUP(Table136[[#This Row],[Code]],'Main Storage'!A:D,3,0)</f>
        <v>481</v>
      </c>
      <c r="D138" s="1">
        <f>VLOOKUP(Table136[[#This Row],[Code]],Maine!A:F,6,0)</f>
        <v>4</v>
      </c>
      <c r="E138" s="11"/>
      <c r="F138" s="1">
        <f>Table136[[#This Row],[Box]]-Table136[[#This Row],[Order]]</f>
        <v>4</v>
      </c>
    </row>
    <row r="139" spans="1:6" x14ac:dyDescent="0.25">
      <c r="A139" s="1" t="s">
        <v>280</v>
      </c>
      <c r="B139" s="1" t="s">
        <v>281</v>
      </c>
      <c r="C139" s="1">
        <f>VLOOKUP(Table136[[#This Row],[Code]],'Main Storage'!A:D,3,0)</f>
        <v>872</v>
      </c>
      <c r="D139" s="1">
        <f>VLOOKUP(Table136[[#This Row],[Code]],Maine!A:F,6,0)</f>
        <v>7</v>
      </c>
      <c r="E139" s="11"/>
      <c r="F139" s="1">
        <f>Table136[[#This Row],[Box]]-Table136[[#This Row],[Order]]</f>
        <v>7</v>
      </c>
    </row>
    <row r="140" spans="1:6" x14ac:dyDescent="0.25">
      <c r="A140" s="1" t="s">
        <v>282</v>
      </c>
      <c r="B140" s="1" t="s">
        <v>283</v>
      </c>
      <c r="C140" s="1">
        <f>VLOOKUP(Table136[[#This Row],[Code]],'Main Storage'!A:D,3,0)</f>
        <v>864</v>
      </c>
      <c r="D140" s="1">
        <f>VLOOKUP(Table136[[#This Row],[Code]],Maine!A:F,6,0)</f>
        <v>7</v>
      </c>
      <c r="E140" s="11"/>
      <c r="F140" s="1">
        <f>Table136[[#This Row],[Box]]-Table136[[#This Row],[Order]]</f>
        <v>7</v>
      </c>
    </row>
    <row r="141" spans="1:6" x14ac:dyDescent="0.25">
      <c r="A141" s="1" t="s">
        <v>284</v>
      </c>
      <c r="B141" s="1" t="s">
        <v>285</v>
      </c>
      <c r="C141" s="1">
        <f>VLOOKUP(Table136[[#This Row],[Code]],'Main Storage'!A:D,3,0)</f>
        <v>1498</v>
      </c>
      <c r="D141" s="1">
        <f>VLOOKUP(Table136[[#This Row],[Code]],Maine!A:F,6,0)</f>
        <v>12</v>
      </c>
      <c r="E141" s="11"/>
      <c r="F141" s="1">
        <f>Table136[[#This Row],[Box]]-Table136[[#This Row],[Order]]</f>
        <v>12</v>
      </c>
    </row>
    <row r="142" spans="1:6" x14ac:dyDescent="0.25">
      <c r="A142" s="1" t="s">
        <v>286</v>
      </c>
      <c r="B142" s="1" t="s">
        <v>287</v>
      </c>
      <c r="C142" s="1">
        <f>VLOOKUP(Table136[[#This Row],[Code]],'Main Storage'!A:D,3,0)</f>
        <v>254</v>
      </c>
      <c r="D142" s="1">
        <f>VLOOKUP(Table136[[#This Row],[Code]],Maine!A:F,6,0)</f>
        <v>2</v>
      </c>
      <c r="E142" s="11"/>
      <c r="F142" s="1">
        <f>Table136[[#This Row],[Box]]-Table136[[#This Row],[Order]]</f>
        <v>2</v>
      </c>
    </row>
    <row r="143" spans="1:6" x14ac:dyDescent="0.25">
      <c r="A143" s="1" t="s">
        <v>288</v>
      </c>
      <c r="B143" s="1" t="s">
        <v>289</v>
      </c>
      <c r="C143" s="1">
        <f>VLOOKUP(Table136[[#This Row],[Code]],'Main Storage'!A:D,3,0)</f>
        <v>145</v>
      </c>
      <c r="D143" s="1">
        <f>VLOOKUP(Table136[[#This Row],[Code]],Maine!A:F,6,0)</f>
        <v>1</v>
      </c>
      <c r="E143" s="11"/>
      <c r="F143" s="1">
        <f>Table136[[#This Row],[Box]]-Table136[[#This Row],[Order]]</f>
        <v>1</v>
      </c>
    </row>
    <row r="144" spans="1:6" x14ac:dyDescent="0.25">
      <c r="A144" s="1" t="s">
        <v>290</v>
      </c>
      <c r="B144" s="1" t="s">
        <v>291</v>
      </c>
      <c r="C144" s="1">
        <f>VLOOKUP(Table136[[#This Row],[Code]],'Main Storage'!A:D,3,0)</f>
        <v>193</v>
      </c>
      <c r="D144" s="1">
        <f>VLOOKUP(Table136[[#This Row],[Code]],Maine!A:F,6,0)</f>
        <v>1</v>
      </c>
      <c r="E144" s="11"/>
      <c r="F144" s="1">
        <f>Table136[[#This Row],[Box]]-Table136[[#This Row],[Order]]</f>
        <v>1</v>
      </c>
    </row>
    <row r="145" spans="1:6" x14ac:dyDescent="0.25">
      <c r="A145" s="1" t="s">
        <v>292</v>
      </c>
      <c r="B145" s="1" t="s">
        <v>293</v>
      </c>
      <c r="C145" s="1">
        <f>VLOOKUP(Table136[[#This Row],[Code]],'Main Storage'!A:D,3,0)</f>
        <v>1478</v>
      </c>
      <c r="D145" s="1">
        <f>VLOOKUP(Table136[[#This Row],[Code]],Maine!A:F,6,0)</f>
        <v>12</v>
      </c>
      <c r="E145" s="11"/>
      <c r="F145" s="1">
        <f>Table136[[#This Row],[Box]]-Table136[[#This Row],[Order]]</f>
        <v>12</v>
      </c>
    </row>
    <row r="146" spans="1:6" x14ac:dyDescent="0.25">
      <c r="A146" s="1" t="s">
        <v>294</v>
      </c>
      <c r="B146" s="1" t="s">
        <v>295</v>
      </c>
      <c r="C146" s="1">
        <f>VLOOKUP(Table136[[#This Row],[Code]],'Main Storage'!A:D,3,0)</f>
        <v>958</v>
      </c>
      <c r="D146" s="1">
        <f>VLOOKUP(Table136[[#This Row],[Code]],Maine!A:F,6,0)</f>
        <v>7</v>
      </c>
      <c r="E146" s="11"/>
      <c r="F146" s="1">
        <f>Table136[[#This Row],[Box]]-Table136[[#This Row],[Order]]</f>
        <v>7</v>
      </c>
    </row>
    <row r="147" spans="1:6" x14ac:dyDescent="0.25">
      <c r="A147" s="1" t="s">
        <v>296</v>
      </c>
      <c r="B147" s="1" t="s">
        <v>297</v>
      </c>
      <c r="C147" s="1">
        <f>VLOOKUP(Table136[[#This Row],[Code]],'Main Storage'!A:D,3,0)</f>
        <v>1327</v>
      </c>
      <c r="D147" s="1">
        <f>VLOOKUP(Table136[[#This Row],[Code]],Maine!A:F,6,0)</f>
        <v>11</v>
      </c>
      <c r="E147" s="11"/>
      <c r="F147" s="1">
        <f>Table136[[#This Row],[Box]]-Table136[[#This Row],[Order]]</f>
        <v>11</v>
      </c>
    </row>
    <row r="148" spans="1:6" x14ac:dyDescent="0.25">
      <c r="A148" s="1" t="s">
        <v>298</v>
      </c>
      <c r="B148" s="1" t="s">
        <v>299</v>
      </c>
      <c r="C148" s="1">
        <f>VLOOKUP(Table136[[#This Row],[Code]],'Main Storage'!A:D,3,0)</f>
        <v>1297</v>
      </c>
      <c r="D148" s="1">
        <f>VLOOKUP(Table136[[#This Row],[Code]],Maine!A:F,6,0)</f>
        <v>10</v>
      </c>
      <c r="E148" s="11"/>
      <c r="F148" s="1">
        <f>Table136[[#This Row],[Box]]-Table136[[#This Row],[Order]]</f>
        <v>10</v>
      </c>
    </row>
    <row r="149" spans="1:6" x14ac:dyDescent="0.25">
      <c r="A149" s="1" t="s">
        <v>300</v>
      </c>
      <c r="B149" s="1" t="s">
        <v>301</v>
      </c>
      <c r="C149" s="1">
        <f>VLOOKUP(Table136[[#This Row],[Code]],'Main Storage'!A:D,3,0)</f>
        <v>284</v>
      </c>
      <c r="D149" s="1">
        <f>VLOOKUP(Table136[[#This Row],[Code]],Maine!A:F,6,0)</f>
        <v>2</v>
      </c>
      <c r="E149" s="11"/>
      <c r="F149" s="1">
        <f>Table136[[#This Row],[Box]]-Table136[[#This Row],[Order]]</f>
        <v>2</v>
      </c>
    </row>
    <row r="150" spans="1:6" x14ac:dyDescent="0.25">
      <c r="A150" s="1" t="s">
        <v>302</v>
      </c>
      <c r="B150" s="1" t="s">
        <v>303</v>
      </c>
      <c r="C150" s="1">
        <f>VLOOKUP(Table136[[#This Row],[Code]],'Main Storage'!A:D,3,0)</f>
        <v>177</v>
      </c>
      <c r="D150" s="1">
        <f>VLOOKUP(Table136[[#This Row],[Code]],Maine!A:F,6,0)</f>
        <v>1</v>
      </c>
      <c r="E150" s="11"/>
      <c r="F150" s="1">
        <f>Table136[[#This Row],[Box]]-Table136[[#This Row],[Order]]</f>
        <v>1</v>
      </c>
    </row>
    <row r="151" spans="1:6" x14ac:dyDescent="0.25">
      <c r="A151" s="1" t="s">
        <v>304</v>
      </c>
      <c r="B151" s="1" t="s">
        <v>305</v>
      </c>
      <c r="C151" s="1">
        <f>VLOOKUP(Table136[[#This Row],[Code]],'Main Storage'!A:D,3,0)</f>
        <v>1288</v>
      </c>
      <c r="D151" s="1">
        <f>VLOOKUP(Table136[[#This Row],[Code]],Maine!A:F,6,0)</f>
        <v>10</v>
      </c>
      <c r="E151" s="11"/>
      <c r="F151" s="1">
        <f>Table136[[#This Row],[Box]]-Table136[[#This Row],[Order]]</f>
        <v>10</v>
      </c>
    </row>
    <row r="152" spans="1:6" x14ac:dyDescent="0.25">
      <c r="A152" s="1" t="s">
        <v>306</v>
      </c>
      <c r="B152" s="1" t="s">
        <v>307</v>
      </c>
      <c r="C152" s="1">
        <f>VLOOKUP(Table136[[#This Row],[Code]],'Main Storage'!A:D,3,0)</f>
        <v>1050</v>
      </c>
      <c r="D152" s="1">
        <f>VLOOKUP(Table136[[#This Row],[Code]],Maine!A:F,6,0)</f>
        <v>8</v>
      </c>
      <c r="E152" s="11"/>
      <c r="F152" s="1">
        <f>Table136[[#This Row],[Box]]-Table136[[#This Row],[Order]]</f>
        <v>8</v>
      </c>
    </row>
    <row r="153" spans="1:6" x14ac:dyDescent="0.25">
      <c r="A153" s="1" t="s">
        <v>308</v>
      </c>
      <c r="B153" s="1" t="s">
        <v>309</v>
      </c>
      <c r="C153" s="1">
        <f>VLOOKUP(Table136[[#This Row],[Code]],'Main Storage'!A:D,3,0)</f>
        <v>686</v>
      </c>
      <c r="D153" s="1">
        <f>VLOOKUP(Table136[[#This Row],[Code]],Maine!A:F,6,0)</f>
        <v>5</v>
      </c>
      <c r="E153" s="11"/>
      <c r="F153" s="1">
        <f>Table136[[#This Row],[Box]]-Table136[[#This Row],[Order]]</f>
        <v>5</v>
      </c>
    </row>
    <row r="154" spans="1:6" x14ac:dyDescent="0.25">
      <c r="A154" s="1" t="s">
        <v>310</v>
      </c>
      <c r="B154" s="1" t="s">
        <v>311</v>
      </c>
      <c r="C154" s="1">
        <f>VLOOKUP(Table136[[#This Row],[Code]],'Main Storage'!A:D,3,0)</f>
        <v>238</v>
      </c>
      <c r="D154" s="1">
        <f>VLOOKUP(Table136[[#This Row],[Code]],Maine!A:F,6,0)</f>
        <v>1</v>
      </c>
      <c r="E154" s="11"/>
      <c r="F154" s="1">
        <f>Table136[[#This Row],[Box]]-Table136[[#This Row],[Order]]</f>
        <v>1</v>
      </c>
    </row>
    <row r="155" spans="1:6" x14ac:dyDescent="0.25">
      <c r="A155" s="1" t="s">
        <v>312</v>
      </c>
      <c r="B155" s="1" t="s">
        <v>313</v>
      </c>
      <c r="C155" s="1">
        <f>VLOOKUP(Table136[[#This Row],[Code]],'Main Storage'!A:D,3,0)</f>
        <v>1063</v>
      </c>
      <c r="D155" s="1">
        <f>VLOOKUP(Table136[[#This Row],[Code]],Maine!A:F,6,0)</f>
        <v>8</v>
      </c>
      <c r="E155" s="11"/>
      <c r="F155" s="1">
        <f>Table136[[#This Row],[Box]]-Table136[[#This Row],[Order]]</f>
        <v>8</v>
      </c>
    </row>
    <row r="156" spans="1:6" x14ac:dyDescent="0.25">
      <c r="A156" s="1" t="s">
        <v>314</v>
      </c>
      <c r="B156" s="1" t="s">
        <v>315</v>
      </c>
      <c r="C156" s="1">
        <f>VLOOKUP(Table136[[#This Row],[Code]],'Main Storage'!A:D,3,0)</f>
        <v>508</v>
      </c>
      <c r="D156" s="1">
        <f>VLOOKUP(Table136[[#This Row],[Code]],Maine!A:F,6,0)</f>
        <v>4</v>
      </c>
      <c r="E156" s="11"/>
      <c r="F156" s="1">
        <f>Table136[[#This Row],[Box]]-Table136[[#This Row],[Order]]</f>
        <v>4</v>
      </c>
    </row>
    <row r="157" spans="1:6" x14ac:dyDescent="0.25">
      <c r="A157" s="1" t="s">
        <v>316</v>
      </c>
      <c r="B157" s="1" t="s">
        <v>317</v>
      </c>
      <c r="C157" s="1">
        <f>VLOOKUP(Table136[[#This Row],[Code]],'Main Storage'!A:D,3,0)</f>
        <v>166</v>
      </c>
      <c r="D157" s="1">
        <f>VLOOKUP(Table136[[#This Row],[Code]],Maine!A:F,6,0)</f>
        <v>1</v>
      </c>
      <c r="E157" s="11"/>
      <c r="F157" s="1">
        <f>Table136[[#This Row],[Box]]-Table136[[#This Row],[Order]]</f>
        <v>1</v>
      </c>
    </row>
    <row r="158" spans="1:6" x14ac:dyDescent="0.25">
      <c r="A158" s="1" t="s">
        <v>318</v>
      </c>
      <c r="B158" s="1" t="s">
        <v>319</v>
      </c>
      <c r="C158" s="1">
        <f>VLOOKUP(Table136[[#This Row],[Code]],'Main Storage'!A:D,3,0)</f>
        <v>695</v>
      </c>
      <c r="D158" s="1">
        <f>VLOOKUP(Table136[[#This Row],[Code]],Maine!A:F,6,0)</f>
        <v>5</v>
      </c>
      <c r="E158" s="11"/>
      <c r="F158" s="1">
        <f>Table136[[#This Row],[Box]]-Table136[[#This Row],[Order]]</f>
        <v>5</v>
      </c>
    </row>
    <row r="159" spans="1:6" x14ac:dyDescent="0.25">
      <c r="A159" s="1" t="s">
        <v>320</v>
      </c>
      <c r="B159" s="1" t="s">
        <v>321</v>
      </c>
      <c r="C159" s="1">
        <f>VLOOKUP(Table136[[#This Row],[Code]],'Main Storage'!A:D,3,0)</f>
        <v>1209</v>
      </c>
      <c r="D159" s="1">
        <f>VLOOKUP(Table136[[#This Row],[Code]],Maine!A:F,6,0)</f>
        <v>10</v>
      </c>
      <c r="E159" s="11"/>
      <c r="F159" s="1">
        <f>Table136[[#This Row],[Box]]-Table136[[#This Row],[Order]]</f>
        <v>10</v>
      </c>
    </row>
    <row r="160" spans="1:6" x14ac:dyDescent="0.25">
      <c r="A160" s="1" t="s">
        <v>322</v>
      </c>
      <c r="B160" s="1" t="s">
        <v>323</v>
      </c>
      <c r="C160" s="1">
        <f>VLOOKUP(Table136[[#This Row],[Code]],'Main Storage'!A:D,3,0)</f>
        <v>458</v>
      </c>
      <c r="D160" s="1">
        <f>VLOOKUP(Table136[[#This Row],[Code]],Maine!A:F,6,0)</f>
        <v>3</v>
      </c>
      <c r="E160" s="11"/>
      <c r="F160" s="1">
        <f>Table136[[#This Row],[Box]]-Table136[[#This Row],[Order]]</f>
        <v>3</v>
      </c>
    </row>
    <row r="161" spans="1:6" x14ac:dyDescent="0.25">
      <c r="A161" s="1" t="s">
        <v>324</v>
      </c>
      <c r="B161" s="1" t="s">
        <v>325</v>
      </c>
      <c r="C161" s="1">
        <f>VLOOKUP(Table136[[#This Row],[Code]],'Main Storage'!A:D,3,0)</f>
        <v>557</v>
      </c>
      <c r="D161" s="1">
        <f>VLOOKUP(Table136[[#This Row],[Code]],Maine!A:F,6,0)</f>
        <v>4</v>
      </c>
      <c r="E161" s="11"/>
      <c r="F161" s="1">
        <f>Table136[[#This Row],[Box]]-Table136[[#This Row],[Order]]</f>
        <v>4</v>
      </c>
    </row>
    <row r="162" spans="1:6" x14ac:dyDescent="0.25">
      <c r="A162" s="1" t="s">
        <v>326</v>
      </c>
      <c r="B162" s="1" t="s">
        <v>327</v>
      </c>
      <c r="C162" s="1">
        <f>VLOOKUP(Table136[[#This Row],[Code]],'Main Storage'!A:D,3,0)</f>
        <v>1417</v>
      </c>
      <c r="D162" s="1">
        <f>VLOOKUP(Table136[[#This Row],[Code]],Maine!A:F,6,0)</f>
        <v>11</v>
      </c>
      <c r="E162" s="11"/>
      <c r="F162" s="1">
        <f>Table136[[#This Row],[Box]]-Table136[[#This Row],[Order]]</f>
        <v>11</v>
      </c>
    </row>
    <row r="163" spans="1:6" x14ac:dyDescent="0.25">
      <c r="A163" s="1" t="s">
        <v>328</v>
      </c>
      <c r="B163" s="1" t="s">
        <v>329</v>
      </c>
      <c r="C163" s="1">
        <f>VLOOKUP(Table136[[#This Row],[Code]],'Main Storage'!A:D,3,0)</f>
        <v>86</v>
      </c>
      <c r="D163" s="1">
        <f>VLOOKUP(Table136[[#This Row],[Code]],Maine!A:F,6,0)</f>
        <v>0</v>
      </c>
      <c r="E163" s="11"/>
      <c r="F163" s="1">
        <f>Table136[[#This Row],[Box]]-Table136[[#This Row],[Order]]</f>
        <v>0</v>
      </c>
    </row>
    <row r="164" spans="1:6" x14ac:dyDescent="0.25">
      <c r="A164" s="1" t="s">
        <v>330</v>
      </c>
      <c r="B164" s="1" t="s">
        <v>331</v>
      </c>
      <c r="C164" s="1">
        <f>VLOOKUP(Table136[[#This Row],[Code]],'Main Storage'!A:D,3,0)</f>
        <v>531</v>
      </c>
      <c r="D164" s="1">
        <f>VLOOKUP(Table136[[#This Row],[Code]],Maine!A:F,6,0)</f>
        <v>4</v>
      </c>
      <c r="E164" s="11"/>
      <c r="F164" s="1">
        <f>Table136[[#This Row],[Box]]-Table136[[#This Row],[Order]]</f>
        <v>4</v>
      </c>
    </row>
    <row r="165" spans="1:6" x14ac:dyDescent="0.25">
      <c r="A165" s="1" t="s">
        <v>332</v>
      </c>
      <c r="B165" s="1" t="s">
        <v>333</v>
      </c>
      <c r="C165" s="1">
        <f>VLOOKUP(Table136[[#This Row],[Code]],'Main Storage'!A:D,3,0)</f>
        <v>574</v>
      </c>
      <c r="D165" s="1">
        <f>VLOOKUP(Table136[[#This Row],[Code]],Maine!A:F,6,0)</f>
        <v>4</v>
      </c>
      <c r="E165" s="11"/>
      <c r="F165" s="1">
        <f>Table136[[#This Row],[Box]]-Table136[[#This Row],[Order]]</f>
        <v>4</v>
      </c>
    </row>
    <row r="166" spans="1:6" x14ac:dyDescent="0.25">
      <c r="A166" s="1" t="s">
        <v>334</v>
      </c>
      <c r="B166" s="1" t="s">
        <v>335</v>
      </c>
      <c r="C166" s="1">
        <f>VLOOKUP(Table136[[#This Row],[Code]],'Main Storage'!A:D,3,0)</f>
        <v>908</v>
      </c>
      <c r="D166" s="1">
        <f>VLOOKUP(Table136[[#This Row],[Code]],Maine!A:F,6,0)</f>
        <v>7</v>
      </c>
      <c r="E166" s="11"/>
      <c r="F166" s="1">
        <f>Table136[[#This Row],[Box]]-Table136[[#This Row],[Order]]</f>
        <v>7</v>
      </c>
    </row>
    <row r="167" spans="1:6" x14ac:dyDescent="0.25">
      <c r="A167" s="1" t="s">
        <v>336</v>
      </c>
      <c r="B167" s="1" t="s">
        <v>337</v>
      </c>
      <c r="C167" s="1">
        <f>VLOOKUP(Table136[[#This Row],[Code]],'Main Storage'!A:D,3,0)</f>
        <v>546</v>
      </c>
      <c r="D167" s="1">
        <f>VLOOKUP(Table136[[#This Row],[Code]],Maine!A:F,6,0)</f>
        <v>4</v>
      </c>
      <c r="E167" s="11"/>
      <c r="F167" s="1">
        <f>Table136[[#This Row],[Box]]-Table136[[#This Row],[Order]]</f>
        <v>4</v>
      </c>
    </row>
    <row r="168" spans="1:6" x14ac:dyDescent="0.25">
      <c r="A168" s="1" t="s">
        <v>338</v>
      </c>
      <c r="B168" s="1" t="s">
        <v>339</v>
      </c>
      <c r="C168" s="1">
        <f>VLOOKUP(Table136[[#This Row],[Code]],'Main Storage'!A:D,3,0)</f>
        <v>537</v>
      </c>
      <c r="D168" s="1">
        <f>VLOOKUP(Table136[[#This Row],[Code]],Maine!A:F,6,0)</f>
        <v>4</v>
      </c>
      <c r="E168" s="11"/>
      <c r="F168" s="1">
        <f>Table136[[#This Row],[Box]]-Table136[[#This Row],[Order]]</f>
        <v>4</v>
      </c>
    </row>
    <row r="169" spans="1:6" x14ac:dyDescent="0.25">
      <c r="A169" s="1" t="s">
        <v>340</v>
      </c>
      <c r="B169" s="1" t="s">
        <v>341</v>
      </c>
      <c r="C169" s="1">
        <f>VLOOKUP(Table136[[#This Row],[Code]],'Main Storage'!A:D,3,0)</f>
        <v>579</v>
      </c>
      <c r="D169" s="1">
        <f>VLOOKUP(Table136[[#This Row],[Code]],Maine!A:F,6,0)</f>
        <v>4</v>
      </c>
      <c r="E169" s="11"/>
      <c r="F169" s="1">
        <f>Table136[[#This Row],[Box]]-Table136[[#This Row],[Order]]</f>
        <v>4</v>
      </c>
    </row>
    <row r="170" spans="1:6" x14ac:dyDescent="0.25">
      <c r="A170" s="1" t="s">
        <v>342</v>
      </c>
      <c r="B170" s="1" t="s">
        <v>343</v>
      </c>
      <c r="C170" s="1">
        <f>VLOOKUP(Table136[[#This Row],[Code]],'Main Storage'!A:D,3,0)</f>
        <v>975</v>
      </c>
      <c r="D170" s="1">
        <f>VLOOKUP(Table136[[#This Row],[Code]],Maine!A:F,6,0)</f>
        <v>8</v>
      </c>
      <c r="E170" s="11"/>
      <c r="F170" s="1">
        <f>Table136[[#This Row],[Box]]-Table136[[#This Row],[Order]]</f>
        <v>8</v>
      </c>
    </row>
    <row r="171" spans="1:6" x14ac:dyDescent="0.25">
      <c r="A171" s="1" t="s">
        <v>344</v>
      </c>
      <c r="B171" s="1" t="s">
        <v>345</v>
      </c>
      <c r="C171" s="1">
        <f>VLOOKUP(Table136[[#This Row],[Code]],'Main Storage'!A:D,3,0)</f>
        <v>3</v>
      </c>
      <c r="D171" s="1">
        <f>VLOOKUP(Table136[[#This Row],[Code]],Maine!A:F,6,0)</f>
        <v>0</v>
      </c>
      <c r="E171" s="11"/>
      <c r="F171" s="1">
        <f>Table136[[#This Row],[Box]]-Table136[[#This Row],[Order]]</f>
        <v>0</v>
      </c>
    </row>
    <row r="172" spans="1:6" x14ac:dyDescent="0.25">
      <c r="A172" s="1" t="s">
        <v>346</v>
      </c>
      <c r="B172" s="1" t="s">
        <v>347</v>
      </c>
      <c r="C172" s="1">
        <f>VLOOKUP(Table136[[#This Row],[Code]],'Main Storage'!A:D,3,0)</f>
        <v>677</v>
      </c>
      <c r="D172" s="1">
        <f>VLOOKUP(Table136[[#This Row],[Code]],Maine!A:F,6,0)</f>
        <v>5</v>
      </c>
      <c r="E172" s="11"/>
      <c r="F172" s="1">
        <f>Table136[[#This Row],[Box]]-Table136[[#This Row],[Order]]</f>
        <v>5</v>
      </c>
    </row>
    <row r="173" spans="1:6" x14ac:dyDescent="0.25">
      <c r="A173" s="1" t="s">
        <v>348</v>
      </c>
      <c r="B173" s="1" t="s">
        <v>349</v>
      </c>
      <c r="C173" s="1">
        <f>VLOOKUP(Table136[[#This Row],[Code]],'Main Storage'!A:D,3,0)</f>
        <v>1304</v>
      </c>
      <c r="D173" s="1">
        <f>VLOOKUP(Table136[[#This Row],[Code]],Maine!A:F,6,0)</f>
        <v>10</v>
      </c>
      <c r="E173" s="11"/>
      <c r="F173" s="1">
        <f>Table136[[#This Row],[Box]]-Table136[[#This Row],[Order]]</f>
        <v>10</v>
      </c>
    </row>
    <row r="174" spans="1:6" x14ac:dyDescent="0.25">
      <c r="A174" s="1" t="s">
        <v>350</v>
      </c>
      <c r="B174" s="1" t="s">
        <v>351</v>
      </c>
      <c r="C174" s="1">
        <f>VLOOKUP(Table136[[#This Row],[Code]],'Main Storage'!A:D,3,0)</f>
        <v>929</v>
      </c>
      <c r="D174" s="1">
        <f>VLOOKUP(Table136[[#This Row],[Code]],Maine!A:F,6,0)</f>
        <v>7</v>
      </c>
      <c r="E174" s="11"/>
      <c r="F174" s="1">
        <f>Table136[[#This Row],[Box]]-Table136[[#This Row],[Order]]</f>
        <v>7</v>
      </c>
    </row>
    <row r="175" spans="1:6" x14ac:dyDescent="0.25">
      <c r="A175" s="1" t="s">
        <v>352</v>
      </c>
      <c r="B175" s="1" t="s">
        <v>353</v>
      </c>
      <c r="C175" s="1">
        <f>VLOOKUP(Table136[[#This Row],[Code]],'Main Storage'!A:D,3,0)</f>
        <v>615</v>
      </c>
      <c r="D175" s="1">
        <f>VLOOKUP(Table136[[#This Row],[Code]],Maine!A:F,6,0)</f>
        <v>5</v>
      </c>
      <c r="E175" s="11"/>
      <c r="F175" s="1">
        <f>Table136[[#This Row],[Box]]-Table136[[#This Row],[Order]]</f>
        <v>5</v>
      </c>
    </row>
    <row r="176" spans="1:6" x14ac:dyDescent="0.25">
      <c r="A176" s="1" t="s">
        <v>354</v>
      </c>
      <c r="B176" s="1" t="s">
        <v>355</v>
      </c>
      <c r="C176" s="1">
        <f>VLOOKUP(Table136[[#This Row],[Code]],'Main Storage'!A:D,3,0)</f>
        <v>547</v>
      </c>
      <c r="D176" s="1">
        <f>VLOOKUP(Table136[[#This Row],[Code]],Maine!A:F,6,0)</f>
        <v>4</v>
      </c>
      <c r="E176" s="11"/>
      <c r="F176" s="1">
        <f>Table136[[#This Row],[Box]]-Table136[[#This Row],[Order]]</f>
        <v>4</v>
      </c>
    </row>
    <row r="177" spans="1:6" x14ac:dyDescent="0.25">
      <c r="A177" s="1" t="s">
        <v>356</v>
      </c>
      <c r="B177" s="1" t="s">
        <v>357</v>
      </c>
      <c r="C177" s="1">
        <f>VLOOKUP(Table136[[#This Row],[Code]],'Main Storage'!A:D,3,0)</f>
        <v>481</v>
      </c>
      <c r="D177" s="1">
        <f>VLOOKUP(Table136[[#This Row],[Code]],Maine!A:F,6,0)</f>
        <v>4</v>
      </c>
      <c r="E177" s="11"/>
      <c r="F177" s="1">
        <f>Table136[[#This Row],[Box]]-Table136[[#This Row],[Order]]</f>
        <v>4</v>
      </c>
    </row>
    <row r="178" spans="1:6" x14ac:dyDescent="0.25">
      <c r="A178" s="1" t="s">
        <v>358</v>
      </c>
      <c r="B178" s="1" t="s">
        <v>359</v>
      </c>
      <c r="C178" s="1">
        <f>VLOOKUP(Table136[[#This Row],[Code]],'Main Storage'!A:D,3,0)</f>
        <v>1371</v>
      </c>
      <c r="D178" s="1">
        <f>VLOOKUP(Table136[[#This Row],[Code]],Maine!A:F,6,0)</f>
        <v>11</v>
      </c>
      <c r="E178" s="11"/>
      <c r="F178" s="1">
        <f>Table136[[#This Row],[Box]]-Table136[[#This Row],[Order]]</f>
        <v>11</v>
      </c>
    </row>
    <row r="179" spans="1:6" x14ac:dyDescent="0.25">
      <c r="A179" s="1" t="s">
        <v>360</v>
      </c>
      <c r="B179" s="1" t="s">
        <v>361</v>
      </c>
      <c r="C179" s="1">
        <f>VLOOKUP(Table136[[#This Row],[Code]],'Main Storage'!A:D,3,0)</f>
        <v>944</v>
      </c>
      <c r="D179" s="1">
        <f>VLOOKUP(Table136[[#This Row],[Code]],Maine!A:F,6,0)</f>
        <v>7</v>
      </c>
      <c r="E179" s="11"/>
      <c r="F179" s="1">
        <f>Table136[[#This Row],[Box]]-Table136[[#This Row],[Order]]</f>
        <v>7</v>
      </c>
    </row>
    <row r="180" spans="1:6" x14ac:dyDescent="0.25">
      <c r="A180" s="1" t="s">
        <v>362</v>
      </c>
      <c r="B180" s="1" t="s">
        <v>363</v>
      </c>
      <c r="C180" s="1">
        <f>VLOOKUP(Table136[[#This Row],[Code]],'Main Storage'!A:D,3,0)</f>
        <v>985</v>
      </c>
      <c r="D180" s="1">
        <f>VLOOKUP(Table136[[#This Row],[Code]],Maine!A:F,6,0)</f>
        <v>8</v>
      </c>
      <c r="E180" s="11"/>
      <c r="F180" s="1">
        <f>Table136[[#This Row],[Box]]-Table136[[#This Row],[Order]]</f>
        <v>8</v>
      </c>
    </row>
    <row r="181" spans="1:6" x14ac:dyDescent="0.25">
      <c r="A181" s="1" t="s">
        <v>364</v>
      </c>
      <c r="B181" s="1" t="s">
        <v>365</v>
      </c>
      <c r="C181" s="1">
        <f>VLOOKUP(Table136[[#This Row],[Code]],'Main Storage'!A:D,3,0)</f>
        <v>1374</v>
      </c>
      <c r="D181" s="1">
        <f>VLOOKUP(Table136[[#This Row],[Code]],Maine!A:F,6,0)</f>
        <v>11</v>
      </c>
      <c r="E181" s="11"/>
      <c r="F181" s="1">
        <f>Table136[[#This Row],[Box]]-Table136[[#This Row],[Order]]</f>
        <v>11</v>
      </c>
    </row>
    <row r="182" spans="1:6" x14ac:dyDescent="0.25">
      <c r="A182" s="1" t="s">
        <v>366</v>
      </c>
      <c r="B182" s="1" t="s">
        <v>367</v>
      </c>
      <c r="C182" s="1">
        <f>VLOOKUP(Table136[[#This Row],[Code]],'Main Storage'!A:D,3,0)</f>
        <v>326</v>
      </c>
      <c r="D182" s="1">
        <f>VLOOKUP(Table136[[#This Row],[Code]],Maine!A:F,6,0)</f>
        <v>2</v>
      </c>
      <c r="E182" s="11"/>
      <c r="F182" s="1">
        <f>Table136[[#This Row],[Box]]-Table136[[#This Row],[Order]]</f>
        <v>2</v>
      </c>
    </row>
    <row r="183" spans="1:6" x14ac:dyDescent="0.25">
      <c r="A183" s="1" t="s">
        <v>368</v>
      </c>
      <c r="B183" s="1" t="s">
        <v>369</v>
      </c>
      <c r="C183" s="1">
        <f>VLOOKUP(Table136[[#This Row],[Code]],'Main Storage'!A:D,3,0)</f>
        <v>1218</v>
      </c>
      <c r="D183" s="1">
        <f>VLOOKUP(Table136[[#This Row],[Code]],Maine!A:F,6,0)</f>
        <v>10</v>
      </c>
      <c r="E183" s="11"/>
      <c r="F183" s="1">
        <f>Table136[[#This Row],[Box]]-Table136[[#This Row],[Order]]</f>
        <v>10</v>
      </c>
    </row>
    <row r="184" spans="1:6" x14ac:dyDescent="0.25">
      <c r="A184" s="1" t="s">
        <v>370</v>
      </c>
      <c r="B184" s="1" t="s">
        <v>371</v>
      </c>
      <c r="C184" s="1">
        <f>VLOOKUP(Table136[[#This Row],[Code]],'Main Storage'!A:D,3,0)</f>
        <v>1121</v>
      </c>
      <c r="D184" s="1">
        <f>VLOOKUP(Table136[[#This Row],[Code]],Maine!A:F,6,0)</f>
        <v>9</v>
      </c>
      <c r="E184" s="11"/>
      <c r="F184" s="1">
        <f>Table136[[#This Row],[Box]]-Table136[[#This Row],[Order]]</f>
        <v>9</v>
      </c>
    </row>
    <row r="185" spans="1:6" x14ac:dyDescent="0.25">
      <c r="A185" s="1" t="s">
        <v>372</v>
      </c>
      <c r="B185" s="1" t="s">
        <v>373</v>
      </c>
      <c r="C185" s="1">
        <f>VLOOKUP(Table136[[#This Row],[Code]],'Main Storage'!A:D,3,0)</f>
        <v>1192</v>
      </c>
      <c r="D185" s="1">
        <f>VLOOKUP(Table136[[#This Row],[Code]],Maine!A:F,6,0)</f>
        <v>9</v>
      </c>
      <c r="E185" s="11"/>
      <c r="F185" s="1">
        <f>Table136[[#This Row],[Box]]-Table136[[#This Row],[Order]]</f>
        <v>9</v>
      </c>
    </row>
    <row r="186" spans="1:6" x14ac:dyDescent="0.25">
      <c r="A186" s="1" t="s">
        <v>374</v>
      </c>
      <c r="B186" s="1" t="s">
        <v>375</v>
      </c>
      <c r="C186" s="1">
        <f>VLOOKUP(Table136[[#This Row],[Code]],'Main Storage'!A:D,3,0)</f>
        <v>945</v>
      </c>
      <c r="D186" s="1">
        <f>VLOOKUP(Table136[[#This Row],[Code]],Maine!A:F,6,0)</f>
        <v>7</v>
      </c>
      <c r="E186" s="11"/>
      <c r="F186" s="1">
        <f>Table136[[#This Row],[Box]]-Table136[[#This Row],[Order]]</f>
        <v>7</v>
      </c>
    </row>
    <row r="187" spans="1:6" x14ac:dyDescent="0.25">
      <c r="A187" s="1" t="s">
        <v>376</v>
      </c>
      <c r="B187" s="1" t="s">
        <v>377</v>
      </c>
      <c r="C187" s="1">
        <f>VLOOKUP(Table136[[#This Row],[Code]],'Main Storage'!A:D,3,0)</f>
        <v>1319</v>
      </c>
      <c r="D187" s="1">
        <f>VLOOKUP(Table136[[#This Row],[Code]],Maine!A:F,6,0)</f>
        <v>10</v>
      </c>
      <c r="E187" s="11"/>
      <c r="F187" s="1">
        <f>Table136[[#This Row],[Box]]-Table136[[#This Row],[Order]]</f>
        <v>10</v>
      </c>
    </row>
    <row r="188" spans="1:6" x14ac:dyDescent="0.25">
      <c r="A188" s="1" t="s">
        <v>378</v>
      </c>
      <c r="B188" s="1" t="s">
        <v>379</v>
      </c>
      <c r="C188" s="1">
        <f>VLOOKUP(Table136[[#This Row],[Code]],'Main Storage'!A:D,3,0)</f>
        <v>1253</v>
      </c>
      <c r="D188" s="1">
        <f>VLOOKUP(Table136[[#This Row],[Code]],Maine!A:F,6,0)</f>
        <v>10</v>
      </c>
      <c r="E188" s="11"/>
      <c r="F188" s="1">
        <f>Table136[[#This Row],[Box]]-Table136[[#This Row],[Order]]</f>
        <v>10</v>
      </c>
    </row>
    <row r="189" spans="1:6" x14ac:dyDescent="0.25">
      <c r="A189" s="1" t="s">
        <v>380</v>
      </c>
      <c r="B189" s="1" t="s">
        <v>381</v>
      </c>
      <c r="C189" s="1">
        <f>VLOOKUP(Table136[[#This Row],[Code]],'Main Storage'!A:D,3,0)</f>
        <v>326</v>
      </c>
      <c r="D189" s="1">
        <f>VLOOKUP(Table136[[#This Row],[Code]],Maine!A:F,6,0)</f>
        <v>2</v>
      </c>
      <c r="E189" s="11"/>
      <c r="F189" s="1">
        <f>Table136[[#This Row],[Box]]-Table136[[#This Row],[Order]]</f>
        <v>2</v>
      </c>
    </row>
    <row r="190" spans="1:6" x14ac:dyDescent="0.25">
      <c r="A190" s="1" t="s">
        <v>382</v>
      </c>
      <c r="B190" s="1" t="s">
        <v>383</v>
      </c>
      <c r="C190" s="1">
        <f>VLOOKUP(Table136[[#This Row],[Code]],'Main Storage'!A:D,3,0)</f>
        <v>1285</v>
      </c>
      <c r="D190" s="1">
        <f>VLOOKUP(Table136[[#This Row],[Code]],Maine!A:F,6,0)</f>
        <v>10</v>
      </c>
      <c r="E190" s="11"/>
      <c r="F190" s="1">
        <f>Table136[[#This Row],[Box]]-Table136[[#This Row],[Order]]</f>
        <v>10</v>
      </c>
    </row>
    <row r="191" spans="1:6" x14ac:dyDescent="0.25">
      <c r="A191" s="1" t="s">
        <v>384</v>
      </c>
      <c r="B191" s="1" t="s">
        <v>385</v>
      </c>
      <c r="C191" s="1">
        <f>VLOOKUP(Table136[[#This Row],[Code]],'Main Storage'!A:D,3,0)</f>
        <v>1221</v>
      </c>
      <c r="D191" s="1">
        <f>VLOOKUP(Table136[[#This Row],[Code]],Maine!A:F,6,0)</f>
        <v>10</v>
      </c>
      <c r="E191" s="11"/>
      <c r="F191" s="1">
        <f>Table136[[#This Row],[Box]]-Table136[[#This Row],[Order]]</f>
        <v>10</v>
      </c>
    </row>
    <row r="192" spans="1:6" x14ac:dyDescent="0.25">
      <c r="A192" s="1" t="s">
        <v>386</v>
      </c>
      <c r="B192" s="1" t="s">
        <v>387</v>
      </c>
      <c r="C192" s="1">
        <f>VLOOKUP(Table136[[#This Row],[Code]],'Main Storage'!A:D,3,0)</f>
        <v>83</v>
      </c>
      <c r="D192" s="1">
        <f>VLOOKUP(Table136[[#This Row],[Code]],Maine!A:F,6,0)</f>
        <v>0</v>
      </c>
      <c r="E192" s="11"/>
      <c r="F192" s="1">
        <f>Table136[[#This Row],[Box]]-Table136[[#This Row],[Order]]</f>
        <v>0</v>
      </c>
    </row>
    <row r="193" spans="1:6" x14ac:dyDescent="0.25">
      <c r="A193" s="1" t="s">
        <v>388</v>
      </c>
      <c r="B193" s="1" t="s">
        <v>389</v>
      </c>
      <c r="C193" s="1">
        <f>VLOOKUP(Table136[[#This Row],[Code]],'Main Storage'!A:D,3,0)</f>
        <v>1436</v>
      </c>
      <c r="D193" s="1">
        <f>VLOOKUP(Table136[[#This Row],[Code]],Maine!A:F,6,0)</f>
        <v>17</v>
      </c>
      <c r="E193" s="11"/>
      <c r="F193" s="1">
        <f>Table136[[#This Row],[Box]]-Table136[[#This Row],[Order]]</f>
        <v>17</v>
      </c>
    </row>
    <row r="194" spans="1:6" x14ac:dyDescent="0.25">
      <c r="A194" s="1" t="s">
        <v>390</v>
      </c>
      <c r="B194" s="1" t="s">
        <v>391</v>
      </c>
      <c r="C194" s="1">
        <f>VLOOKUP(Table136[[#This Row],[Code]],'Main Storage'!A:D,3,0)</f>
        <v>249</v>
      </c>
      <c r="D194" s="1">
        <f>VLOOKUP(Table136[[#This Row],[Code]],Maine!A:F,6,0)</f>
        <v>3</v>
      </c>
      <c r="E194" s="11"/>
      <c r="F194" s="1">
        <f>Table136[[#This Row],[Box]]-Table136[[#This Row],[Order]]</f>
        <v>3</v>
      </c>
    </row>
    <row r="195" spans="1:6" x14ac:dyDescent="0.25">
      <c r="A195" s="1" t="s">
        <v>392</v>
      </c>
      <c r="B195" s="1" t="s">
        <v>393</v>
      </c>
      <c r="C195" s="1">
        <f>VLOOKUP(Table136[[#This Row],[Code]],'Main Storage'!A:D,3,0)</f>
        <v>260</v>
      </c>
      <c r="D195" s="1">
        <f>VLOOKUP(Table136[[#This Row],[Code]],Maine!A:F,6,0)</f>
        <v>3</v>
      </c>
      <c r="E195" s="11"/>
      <c r="F195" s="1">
        <f>Table136[[#This Row],[Box]]-Table136[[#This Row],[Order]]</f>
        <v>3</v>
      </c>
    </row>
    <row r="196" spans="1:6" x14ac:dyDescent="0.25">
      <c r="A196" s="1" t="s">
        <v>394</v>
      </c>
      <c r="B196" s="1" t="s">
        <v>395</v>
      </c>
      <c r="C196" s="1">
        <f>VLOOKUP(Table136[[#This Row],[Code]],'Main Storage'!A:D,3,0)</f>
        <v>337</v>
      </c>
      <c r="D196" s="1">
        <f>VLOOKUP(Table136[[#This Row],[Code]],Maine!A:F,6,0)</f>
        <v>4</v>
      </c>
      <c r="E196" s="11"/>
      <c r="F196" s="1">
        <f>Table136[[#This Row],[Box]]-Table136[[#This Row],[Order]]</f>
        <v>4</v>
      </c>
    </row>
    <row r="197" spans="1:6" x14ac:dyDescent="0.25">
      <c r="A197" s="1" t="s">
        <v>396</v>
      </c>
      <c r="B197" s="1" t="s">
        <v>397</v>
      </c>
      <c r="C197" s="1">
        <f>VLOOKUP(Table136[[#This Row],[Code]],'Main Storage'!A:D,3,0)</f>
        <v>895</v>
      </c>
      <c r="D197" s="1">
        <f>VLOOKUP(Table136[[#This Row],[Code]],Maine!A:F,6,0)</f>
        <v>11</v>
      </c>
      <c r="E197" s="11"/>
      <c r="F197" s="1">
        <f>Table136[[#This Row],[Box]]-Table136[[#This Row],[Order]]</f>
        <v>11</v>
      </c>
    </row>
    <row r="198" spans="1:6" x14ac:dyDescent="0.25">
      <c r="A198" s="1" t="s">
        <v>398</v>
      </c>
      <c r="B198" s="1" t="s">
        <v>399</v>
      </c>
      <c r="C198" s="1">
        <f>VLOOKUP(Table136[[#This Row],[Code]],'Main Storage'!A:D,3,0)</f>
        <v>853</v>
      </c>
      <c r="D198" s="1">
        <f>VLOOKUP(Table136[[#This Row],[Code]],Maine!A:F,6,0)</f>
        <v>10</v>
      </c>
      <c r="E198" s="11"/>
      <c r="F198" s="1">
        <f>Table136[[#This Row],[Box]]-Table136[[#This Row],[Order]]</f>
        <v>10</v>
      </c>
    </row>
    <row r="199" spans="1:6" x14ac:dyDescent="0.25">
      <c r="A199" s="1" t="s">
        <v>400</v>
      </c>
      <c r="B199" s="1" t="s">
        <v>401</v>
      </c>
      <c r="C199" s="1">
        <f>VLOOKUP(Table136[[#This Row],[Code]],'Main Storage'!A:D,3,0)</f>
        <v>551</v>
      </c>
      <c r="D199" s="1">
        <f>VLOOKUP(Table136[[#This Row],[Code]],Maine!A:F,6,0)</f>
        <v>6</v>
      </c>
      <c r="E199" s="11"/>
      <c r="F199" s="1">
        <f>Table136[[#This Row],[Box]]-Table136[[#This Row],[Order]]</f>
        <v>6</v>
      </c>
    </row>
    <row r="200" spans="1:6" x14ac:dyDescent="0.25">
      <c r="A200" s="1" t="s">
        <v>402</v>
      </c>
      <c r="B200" s="1" t="s">
        <v>403</v>
      </c>
      <c r="C200" s="1">
        <f>VLOOKUP(Table136[[#This Row],[Code]],'Main Storage'!A:D,3,0)</f>
        <v>425</v>
      </c>
      <c r="D200" s="1">
        <f>VLOOKUP(Table136[[#This Row],[Code]],Maine!A:F,6,0)</f>
        <v>5</v>
      </c>
      <c r="E200" s="11"/>
      <c r="F200" s="1">
        <f>Table136[[#This Row],[Box]]-Table136[[#This Row],[Order]]</f>
        <v>5</v>
      </c>
    </row>
    <row r="201" spans="1:6" x14ac:dyDescent="0.25">
      <c r="A201" s="1" t="s">
        <v>404</v>
      </c>
      <c r="B201" s="1" t="s">
        <v>405</v>
      </c>
      <c r="C201" s="1">
        <f>VLOOKUP(Table136[[#This Row],[Code]],'Main Storage'!A:D,3,0)</f>
        <v>981</v>
      </c>
      <c r="D201" s="1">
        <f>VLOOKUP(Table136[[#This Row],[Code]],Maine!A:F,6,0)</f>
        <v>12</v>
      </c>
      <c r="E201" s="11"/>
      <c r="F201" s="1">
        <f>Table136[[#This Row],[Box]]-Table136[[#This Row],[Order]]</f>
        <v>12</v>
      </c>
    </row>
    <row r="202" spans="1:6" x14ac:dyDescent="0.25">
      <c r="A202" s="1" t="s">
        <v>406</v>
      </c>
      <c r="B202" s="1" t="s">
        <v>407</v>
      </c>
      <c r="C202" s="1">
        <f>VLOOKUP(Table136[[#This Row],[Code]],'Main Storage'!A:D,3,0)</f>
        <v>922</v>
      </c>
      <c r="D202" s="1">
        <f>VLOOKUP(Table136[[#This Row],[Code]],Maine!A:F,6,0)</f>
        <v>11</v>
      </c>
      <c r="E202" s="11"/>
      <c r="F202" s="1">
        <f>Table136[[#This Row],[Box]]-Table136[[#This Row],[Order]]</f>
        <v>11</v>
      </c>
    </row>
    <row r="203" spans="1:6" x14ac:dyDescent="0.25">
      <c r="A203" s="1" t="s">
        <v>408</v>
      </c>
      <c r="B203" s="1" t="s">
        <v>409</v>
      </c>
      <c r="C203" s="1">
        <f>VLOOKUP(Table136[[#This Row],[Code]],'Main Storage'!A:D,3,0)</f>
        <v>515</v>
      </c>
      <c r="D203" s="1">
        <f>VLOOKUP(Table136[[#This Row],[Code]],Maine!A:F,6,0)</f>
        <v>6</v>
      </c>
      <c r="E203" s="11"/>
      <c r="F203" s="1">
        <f>Table136[[#This Row],[Box]]-Table136[[#This Row],[Order]]</f>
        <v>6</v>
      </c>
    </row>
    <row r="204" spans="1:6" x14ac:dyDescent="0.25">
      <c r="A204" s="1" t="s">
        <v>410</v>
      </c>
      <c r="B204" s="1" t="s">
        <v>411</v>
      </c>
      <c r="C204" s="1">
        <f>VLOOKUP(Table136[[#This Row],[Code]],'Main Storage'!A:D,3,0)</f>
        <v>965</v>
      </c>
      <c r="D204" s="1">
        <f>VLOOKUP(Table136[[#This Row],[Code]],Maine!A:F,6,0)</f>
        <v>12</v>
      </c>
      <c r="E204" s="11"/>
      <c r="F204" s="1">
        <f>Table136[[#This Row],[Box]]-Table136[[#This Row],[Order]]</f>
        <v>12</v>
      </c>
    </row>
    <row r="205" spans="1:6" x14ac:dyDescent="0.25">
      <c r="A205" s="1" t="s">
        <v>412</v>
      </c>
      <c r="B205" s="1" t="s">
        <v>413</v>
      </c>
      <c r="C205" s="1">
        <f>VLOOKUP(Table136[[#This Row],[Code]],'Main Storage'!A:D,3,0)</f>
        <v>1494</v>
      </c>
      <c r="D205" s="1">
        <f>VLOOKUP(Table136[[#This Row],[Code]],Maine!A:F,6,0)</f>
        <v>18</v>
      </c>
      <c r="E205" s="11"/>
      <c r="F205" s="1">
        <f>Table136[[#This Row],[Box]]-Table136[[#This Row],[Order]]</f>
        <v>18</v>
      </c>
    </row>
    <row r="206" spans="1:6" x14ac:dyDescent="0.25">
      <c r="A206" s="1" t="s">
        <v>414</v>
      </c>
      <c r="B206" s="1" t="s">
        <v>415</v>
      </c>
      <c r="C206" s="1">
        <f>VLOOKUP(Table136[[#This Row],[Code]],'Main Storage'!A:D,3,0)</f>
        <v>450</v>
      </c>
      <c r="D206" s="1">
        <f>VLOOKUP(Table136[[#This Row],[Code]],Maine!A:F,6,0)</f>
        <v>5</v>
      </c>
      <c r="E206" s="11"/>
      <c r="F206" s="1">
        <f>Table136[[#This Row],[Box]]-Table136[[#This Row],[Order]]</f>
        <v>5</v>
      </c>
    </row>
    <row r="207" spans="1:6" x14ac:dyDescent="0.25">
      <c r="A207" s="1" t="s">
        <v>416</v>
      </c>
      <c r="B207" s="1" t="s">
        <v>417</v>
      </c>
      <c r="C207" s="1">
        <f>VLOOKUP(Table136[[#This Row],[Code]],'Main Storage'!A:D,3,0)</f>
        <v>276</v>
      </c>
      <c r="D207" s="1">
        <f>VLOOKUP(Table136[[#This Row],[Code]],Maine!A:F,6,0)</f>
        <v>3</v>
      </c>
      <c r="E207" s="11"/>
      <c r="F207" s="1">
        <f>Table136[[#This Row],[Box]]-Table136[[#This Row],[Order]]</f>
        <v>3</v>
      </c>
    </row>
    <row r="208" spans="1:6" x14ac:dyDescent="0.25">
      <c r="A208" s="1" t="s">
        <v>418</v>
      </c>
      <c r="B208" s="1" t="s">
        <v>419</v>
      </c>
      <c r="C208" s="1">
        <f>VLOOKUP(Table136[[#This Row],[Code]],'Main Storage'!A:D,3,0)</f>
        <v>189</v>
      </c>
      <c r="D208" s="1">
        <f>VLOOKUP(Table136[[#This Row],[Code]],Maine!A:F,6,0)</f>
        <v>2</v>
      </c>
      <c r="E208" s="11"/>
      <c r="F208" s="1">
        <f>Table136[[#This Row],[Box]]-Table136[[#This Row],[Order]]</f>
        <v>2</v>
      </c>
    </row>
    <row r="209" spans="1:6" x14ac:dyDescent="0.25">
      <c r="A209" s="1" t="s">
        <v>420</v>
      </c>
      <c r="B209" s="1" t="s">
        <v>421</v>
      </c>
      <c r="C209" s="1">
        <f>VLOOKUP(Table136[[#This Row],[Code]],'Main Storage'!A:D,3,0)</f>
        <v>871</v>
      </c>
      <c r="D209" s="1">
        <f>VLOOKUP(Table136[[#This Row],[Code]],Maine!A:F,6,0)</f>
        <v>10</v>
      </c>
      <c r="E209" s="11"/>
      <c r="F209" s="1">
        <f>Table136[[#This Row],[Box]]-Table136[[#This Row],[Order]]</f>
        <v>10</v>
      </c>
    </row>
    <row r="210" spans="1:6" x14ac:dyDescent="0.25">
      <c r="A210" s="1" t="s">
        <v>422</v>
      </c>
      <c r="B210" s="1" t="s">
        <v>423</v>
      </c>
      <c r="C210" s="1">
        <f>VLOOKUP(Table136[[#This Row],[Code]],'Main Storage'!A:D,3,0)</f>
        <v>55</v>
      </c>
      <c r="D210" s="1">
        <f>VLOOKUP(Table136[[#This Row],[Code]],Maine!A:F,6,0)</f>
        <v>0</v>
      </c>
      <c r="E210" s="11"/>
      <c r="F210" s="1">
        <f>Table136[[#This Row],[Box]]-Table136[[#This Row],[Order]]</f>
        <v>0</v>
      </c>
    </row>
    <row r="211" spans="1:6" x14ac:dyDescent="0.25">
      <c r="A211" s="1" t="s">
        <v>427</v>
      </c>
      <c r="C211" s="1">
        <f>VLOOKUP(Table136[[#This Row],[Code]],'Main Storage'!A:D,3,0)</f>
        <v>155010</v>
      </c>
      <c r="D211" s="1">
        <f>VLOOKUP(Table136[[#This Row],[Code]],Maine!A:F,6,0)</f>
        <v>10</v>
      </c>
      <c r="E211" s="11"/>
      <c r="F211" s="1">
        <f>Table136[[#This Row],[Box]]-Table136[[#This Row],[Order]]</f>
        <v>10</v>
      </c>
    </row>
  </sheetData>
  <dataValidations count="1">
    <dataValidation type="whole" allowBlank="1" showInputMessage="1" showErrorMessage="1" errorTitle="Enter Number" error="Just Number between 0 to BOX column" promptTitle="Enter Number" prompt="Just Number between 0 to BOX column" sqref="E2:E211" xr:uid="{87A1500D-C1FC-4443-98D1-055478D11977}">
      <formula1>0</formula1>
      <formula2>D2</formula2>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254DA-190F-4519-BFC3-5C577BAB7C90}">
  <dimension ref="A1:F211"/>
  <sheetViews>
    <sheetView workbookViewId="0">
      <selection sqref="A1:XFD1048576"/>
    </sheetView>
  </sheetViews>
  <sheetFormatPr defaultRowHeight="15" x14ac:dyDescent="0.25"/>
  <cols>
    <col min="1" max="2" width="9.140625" style="1"/>
    <col min="3" max="3" width="18.28515625" style="1" customWidth="1"/>
    <col min="4" max="16384" width="9.140625" style="1"/>
  </cols>
  <sheetData>
    <row r="1" spans="1:6" x14ac:dyDescent="0.25">
      <c r="A1" s="1" t="s">
        <v>2</v>
      </c>
      <c r="B1" s="1" t="s">
        <v>1</v>
      </c>
      <c r="C1" s="1" t="s">
        <v>428</v>
      </c>
      <c r="D1" s="1" t="s">
        <v>429</v>
      </c>
      <c r="E1" s="1" t="s">
        <v>430</v>
      </c>
      <c r="F1" s="1" t="s">
        <v>431</v>
      </c>
    </row>
    <row r="2" spans="1:6" x14ac:dyDescent="0.25">
      <c r="A2" s="1" t="s">
        <v>3</v>
      </c>
      <c r="B2" s="1" t="s">
        <v>4</v>
      </c>
      <c r="C2" s="1">
        <f>VLOOKUP(Table137[[#This Row],[Code]],'Main Storage'!A:D,3,0)</f>
        <v>754</v>
      </c>
      <c r="D2" s="1">
        <f>VLOOKUP(Table137[[#This Row],[Code]],'New York'!A:F,6,0)</f>
        <v>62</v>
      </c>
      <c r="E2" s="11"/>
      <c r="F2" s="1">
        <f>Table137[[#This Row],[Box]]-Table137[[#This Row],[Order]]</f>
        <v>62</v>
      </c>
    </row>
    <row r="3" spans="1:6" x14ac:dyDescent="0.25">
      <c r="A3" s="1" t="s">
        <v>6</v>
      </c>
      <c r="B3" s="1" t="s">
        <v>54</v>
      </c>
      <c r="C3" s="1">
        <f>VLOOKUP(Table137[[#This Row],[Code]],'Main Storage'!A:D,3,0)</f>
        <v>1440</v>
      </c>
      <c r="D3" s="1">
        <f>VLOOKUP(Table137[[#This Row],[Code]],'New York'!A:F,6,0)</f>
        <v>90</v>
      </c>
      <c r="E3" s="11"/>
      <c r="F3" s="1">
        <f>Table137[[#This Row],[Box]]-Table137[[#This Row],[Order]]</f>
        <v>90</v>
      </c>
    </row>
    <row r="4" spans="1:6" x14ac:dyDescent="0.25">
      <c r="A4" s="1" t="s">
        <v>7</v>
      </c>
      <c r="B4" s="1" t="s">
        <v>55</v>
      </c>
      <c r="C4" s="1">
        <f>VLOOKUP(Table137[[#This Row],[Code]],'Main Storage'!A:D,3,0)</f>
        <v>1383</v>
      </c>
      <c r="D4" s="1">
        <f>VLOOKUP(Table137[[#This Row],[Code]],'New York'!A:F,6,0)</f>
        <v>115</v>
      </c>
      <c r="E4" s="11"/>
      <c r="F4" s="1">
        <f>Table137[[#This Row],[Box]]-Table137[[#This Row],[Order]]</f>
        <v>115</v>
      </c>
    </row>
    <row r="5" spans="1:6" x14ac:dyDescent="0.25">
      <c r="A5" s="1" t="s">
        <v>8</v>
      </c>
      <c r="B5" s="1" t="s">
        <v>56</v>
      </c>
      <c r="C5" s="1">
        <f>VLOOKUP(Table137[[#This Row],[Code]],'Main Storage'!A:D,3,0)</f>
        <v>1376</v>
      </c>
      <c r="D5" s="1">
        <f>VLOOKUP(Table137[[#This Row],[Code]],'New York'!A:F,6,0)</f>
        <v>114</v>
      </c>
      <c r="E5" s="11"/>
      <c r="F5" s="1">
        <f>Table137[[#This Row],[Box]]-Table137[[#This Row],[Order]]</f>
        <v>114</v>
      </c>
    </row>
    <row r="6" spans="1:6" x14ac:dyDescent="0.25">
      <c r="A6" s="1" t="s">
        <v>9</v>
      </c>
      <c r="B6" s="1" t="s">
        <v>57</v>
      </c>
      <c r="C6" s="1">
        <f>VLOOKUP(Table137[[#This Row],[Code]],'Main Storage'!A:D,3,0)</f>
        <v>826</v>
      </c>
      <c r="D6" s="1">
        <f>VLOOKUP(Table137[[#This Row],[Code]],'New York'!A:F,6,0)</f>
        <v>68</v>
      </c>
      <c r="E6" s="11"/>
      <c r="F6" s="1">
        <f>Table137[[#This Row],[Box]]-Table137[[#This Row],[Order]]</f>
        <v>68</v>
      </c>
    </row>
    <row r="7" spans="1:6" x14ac:dyDescent="0.25">
      <c r="A7" s="1" t="s">
        <v>10</v>
      </c>
      <c r="B7" s="1" t="s">
        <v>58</v>
      </c>
      <c r="C7" s="1">
        <f>VLOOKUP(Table137[[#This Row],[Code]],'Main Storage'!A:D,3,0)</f>
        <v>939</v>
      </c>
      <c r="D7" s="1">
        <f>VLOOKUP(Table137[[#This Row],[Code]],'New York'!A:F,6,0)</f>
        <v>78</v>
      </c>
      <c r="E7" s="11"/>
      <c r="F7" s="1">
        <f>Table137[[#This Row],[Box]]-Table137[[#This Row],[Order]]</f>
        <v>78</v>
      </c>
    </row>
    <row r="8" spans="1:6" x14ac:dyDescent="0.25">
      <c r="A8" s="1" t="s">
        <v>11</v>
      </c>
      <c r="B8" s="1" t="s">
        <v>59</v>
      </c>
      <c r="C8" s="1">
        <f>VLOOKUP(Table137[[#This Row],[Code]],'Main Storage'!A:D,3,0)</f>
        <v>908</v>
      </c>
      <c r="D8" s="1">
        <f>VLOOKUP(Table137[[#This Row],[Code]],'New York'!A:F,6,0)</f>
        <v>75</v>
      </c>
      <c r="E8" s="11"/>
      <c r="F8" s="1">
        <f>Table137[[#This Row],[Box]]-Table137[[#This Row],[Order]]</f>
        <v>75</v>
      </c>
    </row>
    <row r="9" spans="1:6" x14ac:dyDescent="0.25">
      <c r="A9" s="1" t="s">
        <v>12</v>
      </c>
      <c r="B9" s="1" t="s">
        <v>60</v>
      </c>
      <c r="C9" s="1">
        <f>VLOOKUP(Table137[[#This Row],[Code]],'Main Storage'!A:D,3,0)</f>
        <v>675</v>
      </c>
      <c r="D9" s="1">
        <f>VLOOKUP(Table137[[#This Row],[Code]],'New York'!A:F,6,0)</f>
        <v>56</v>
      </c>
      <c r="E9" s="11"/>
      <c r="F9" s="1">
        <f>Table137[[#This Row],[Box]]-Table137[[#This Row],[Order]]</f>
        <v>56</v>
      </c>
    </row>
    <row r="10" spans="1:6" x14ac:dyDescent="0.25">
      <c r="A10" s="1" t="s">
        <v>13</v>
      </c>
      <c r="B10" s="1" t="s">
        <v>61</v>
      </c>
      <c r="C10" s="1">
        <f>VLOOKUP(Table137[[#This Row],[Code]],'Main Storage'!A:D,3,0)</f>
        <v>590</v>
      </c>
      <c r="D10" s="1">
        <f>VLOOKUP(Table137[[#This Row],[Code]],'New York'!A:F,6,0)</f>
        <v>49</v>
      </c>
      <c r="E10" s="11"/>
      <c r="F10" s="1">
        <f>Table137[[#This Row],[Box]]-Table137[[#This Row],[Order]]</f>
        <v>49</v>
      </c>
    </row>
    <row r="11" spans="1:6" x14ac:dyDescent="0.25">
      <c r="A11" s="1" t="s">
        <v>14</v>
      </c>
      <c r="B11" s="1" t="s">
        <v>62</v>
      </c>
      <c r="C11" s="1">
        <f>VLOOKUP(Table137[[#This Row],[Code]],'Main Storage'!A:D,3,0)</f>
        <v>973</v>
      </c>
      <c r="D11" s="1">
        <f>VLOOKUP(Table137[[#This Row],[Code]],'New York'!A:F,6,0)</f>
        <v>81</v>
      </c>
      <c r="E11" s="11"/>
      <c r="F11" s="1">
        <f>Table137[[#This Row],[Box]]-Table137[[#This Row],[Order]]</f>
        <v>81</v>
      </c>
    </row>
    <row r="12" spans="1:6" x14ac:dyDescent="0.25">
      <c r="A12" s="1" t="s">
        <v>15</v>
      </c>
      <c r="B12" s="1" t="s">
        <v>63</v>
      </c>
      <c r="C12" s="1">
        <f>VLOOKUP(Table137[[#This Row],[Code]],'Main Storage'!A:D,3,0)</f>
        <v>608</v>
      </c>
      <c r="D12" s="1">
        <f>VLOOKUP(Table137[[#This Row],[Code]],'New York'!A:F,6,0)</f>
        <v>50</v>
      </c>
      <c r="E12" s="11"/>
      <c r="F12" s="1">
        <f>Table137[[#This Row],[Box]]-Table137[[#This Row],[Order]]</f>
        <v>50</v>
      </c>
    </row>
    <row r="13" spans="1:6" x14ac:dyDescent="0.25">
      <c r="A13" s="1" t="s">
        <v>16</v>
      </c>
      <c r="B13" s="1" t="s">
        <v>64</v>
      </c>
      <c r="C13" s="1">
        <f>VLOOKUP(Table137[[#This Row],[Code]],'Main Storage'!A:D,3,0)</f>
        <v>1191</v>
      </c>
      <c r="D13" s="1">
        <f>VLOOKUP(Table137[[#This Row],[Code]],'New York'!A:F,6,0)</f>
        <v>99</v>
      </c>
      <c r="E13" s="11"/>
      <c r="F13" s="1">
        <f>Table137[[#This Row],[Box]]-Table137[[#This Row],[Order]]</f>
        <v>99</v>
      </c>
    </row>
    <row r="14" spans="1:6" x14ac:dyDescent="0.25">
      <c r="A14" s="1" t="s">
        <v>17</v>
      </c>
      <c r="B14" s="1" t="s">
        <v>65</v>
      </c>
      <c r="C14" s="1">
        <f>VLOOKUP(Table137[[#This Row],[Code]],'Main Storage'!A:D,3,0)</f>
        <v>336</v>
      </c>
      <c r="D14" s="1">
        <f>VLOOKUP(Table137[[#This Row],[Code]],'New York'!A:F,6,0)</f>
        <v>28</v>
      </c>
      <c r="E14" s="11"/>
      <c r="F14" s="1">
        <f>Table137[[#This Row],[Box]]-Table137[[#This Row],[Order]]</f>
        <v>28</v>
      </c>
    </row>
    <row r="15" spans="1:6" x14ac:dyDescent="0.25">
      <c r="A15" s="1" t="s">
        <v>18</v>
      </c>
      <c r="B15" s="1" t="s">
        <v>66</v>
      </c>
      <c r="C15" s="1">
        <f>VLOOKUP(Table137[[#This Row],[Code]],'Main Storage'!A:D,3,0)</f>
        <v>98</v>
      </c>
      <c r="D15" s="1">
        <f>VLOOKUP(Table137[[#This Row],[Code]],'New York'!A:F,6,0)</f>
        <v>8</v>
      </c>
      <c r="E15" s="11"/>
      <c r="F15" s="1">
        <f>Table137[[#This Row],[Box]]-Table137[[#This Row],[Order]]</f>
        <v>8</v>
      </c>
    </row>
    <row r="16" spans="1:6" x14ac:dyDescent="0.25">
      <c r="A16" s="1" t="s">
        <v>19</v>
      </c>
      <c r="B16" s="1" t="s">
        <v>67</v>
      </c>
      <c r="C16" s="1">
        <f>VLOOKUP(Table137[[#This Row],[Code]],'Main Storage'!A:D,3,0)</f>
        <v>145</v>
      </c>
      <c r="D16" s="1">
        <f>VLOOKUP(Table137[[#This Row],[Code]],'New York'!A:F,6,0)</f>
        <v>12</v>
      </c>
      <c r="E16" s="11"/>
      <c r="F16" s="1">
        <f>Table137[[#This Row],[Box]]-Table137[[#This Row],[Order]]</f>
        <v>12</v>
      </c>
    </row>
    <row r="17" spans="1:6" x14ac:dyDescent="0.25">
      <c r="A17" s="1" t="s">
        <v>20</v>
      </c>
      <c r="B17" s="1" t="s">
        <v>68</v>
      </c>
      <c r="C17" s="1">
        <f>VLOOKUP(Table137[[#This Row],[Code]],'Main Storage'!A:D,3,0)</f>
        <v>823</v>
      </c>
      <c r="D17" s="1">
        <f>VLOOKUP(Table137[[#This Row],[Code]],'New York'!A:F,6,0)</f>
        <v>68</v>
      </c>
      <c r="E17" s="11"/>
      <c r="F17" s="1">
        <f>Table137[[#This Row],[Box]]-Table137[[#This Row],[Order]]</f>
        <v>68</v>
      </c>
    </row>
    <row r="18" spans="1:6" x14ac:dyDescent="0.25">
      <c r="A18" s="1" t="s">
        <v>21</v>
      </c>
      <c r="B18" s="1" t="s">
        <v>69</v>
      </c>
      <c r="C18" s="1">
        <f>VLOOKUP(Table137[[#This Row],[Code]],'Main Storage'!A:D,3,0)</f>
        <v>1238</v>
      </c>
      <c r="D18" s="1">
        <f>VLOOKUP(Table137[[#This Row],[Code]],'New York'!A:F,6,0)</f>
        <v>103</v>
      </c>
      <c r="E18" s="11"/>
      <c r="F18" s="1">
        <f>Table137[[#This Row],[Box]]-Table137[[#This Row],[Order]]</f>
        <v>103</v>
      </c>
    </row>
    <row r="19" spans="1:6" x14ac:dyDescent="0.25">
      <c r="A19" s="1" t="s">
        <v>22</v>
      </c>
      <c r="B19" s="1" t="s">
        <v>70</v>
      </c>
      <c r="C19" s="1">
        <f>VLOOKUP(Table137[[#This Row],[Code]],'Main Storage'!A:D,3,0)</f>
        <v>624</v>
      </c>
      <c r="D19" s="1">
        <f>VLOOKUP(Table137[[#This Row],[Code]],'New York'!A:F,6,0)</f>
        <v>52</v>
      </c>
      <c r="E19" s="11"/>
      <c r="F19" s="1">
        <f>Table137[[#This Row],[Box]]-Table137[[#This Row],[Order]]</f>
        <v>52</v>
      </c>
    </row>
    <row r="20" spans="1:6" x14ac:dyDescent="0.25">
      <c r="A20" s="1" t="s">
        <v>23</v>
      </c>
      <c r="B20" s="1" t="s">
        <v>71</v>
      </c>
      <c r="C20" s="1">
        <f>VLOOKUP(Table137[[#This Row],[Code]],'Main Storage'!A:D,3,0)</f>
        <v>788</v>
      </c>
      <c r="D20" s="1">
        <f>VLOOKUP(Table137[[#This Row],[Code]],'New York'!A:F,6,0)</f>
        <v>65</v>
      </c>
      <c r="E20" s="11"/>
      <c r="F20" s="1">
        <f>Table137[[#This Row],[Box]]-Table137[[#This Row],[Order]]</f>
        <v>65</v>
      </c>
    </row>
    <row r="21" spans="1:6" x14ac:dyDescent="0.25">
      <c r="A21" s="1" t="s">
        <v>24</v>
      </c>
      <c r="B21" s="1" t="s">
        <v>72</v>
      </c>
      <c r="C21" s="1">
        <f>VLOOKUP(Table137[[#This Row],[Code]],'Main Storage'!A:D,3,0)</f>
        <v>368</v>
      </c>
      <c r="D21" s="1">
        <f>VLOOKUP(Table137[[#This Row],[Code]],'New York'!A:F,6,0)</f>
        <v>30</v>
      </c>
      <c r="E21" s="11"/>
      <c r="F21" s="1">
        <f>Table137[[#This Row],[Box]]-Table137[[#This Row],[Order]]</f>
        <v>30</v>
      </c>
    </row>
    <row r="22" spans="1:6" x14ac:dyDescent="0.25">
      <c r="A22" s="1" t="s">
        <v>25</v>
      </c>
      <c r="B22" s="1" t="s">
        <v>73</v>
      </c>
      <c r="C22" s="1">
        <f>VLOOKUP(Table137[[#This Row],[Code]],'Main Storage'!A:D,3,0)</f>
        <v>281</v>
      </c>
      <c r="D22" s="1">
        <f>VLOOKUP(Table137[[#This Row],[Code]],'New York'!A:F,6,0)</f>
        <v>23</v>
      </c>
      <c r="E22" s="11"/>
      <c r="F22" s="1">
        <f>Table137[[#This Row],[Box]]-Table137[[#This Row],[Order]]</f>
        <v>23</v>
      </c>
    </row>
    <row r="23" spans="1:6" x14ac:dyDescent="0.25">
      <c r="A23" s="1" t="s">
        <v>26</v>
      </c>
      <c r="B23" s="1" t="s">
        <v>74</v>
      </c>
      <c r="C23" s="1">
        <f>VLOOKUP(Table137[[#This Row],[Code]],'Main Storage'!A:D,3,0)</f>
        <v>1480</v>
      </c>
      <c r="D23" s="1">
        <f>VLOOKUP(Table137[[#This Row],[Code]],'New York'!A:F,6,0)</f>
        <v>123</v>
      </c>
      <c r="E23" s="11"/>
      <c r="F23" s="1">
        <f>Table137[[#This Row],[Box]]-Table137[[#This Row],[Order]]</f>
        <v>123</v>
      </c>
    </row>
    <row r="24" spans="1:6" x14ac:dyDescent="0.25">
      <c r="A24" s="1" t="s">
        <v>27</v>
      </c>
      <c r="B24" s="1" t="s">
        <v>75</v>
      </c>
      <c r="C24" s="1">
        <f>VLOOKUP(Table137[[#This Row],[Code]],'Main Storage'!A:D,3,0)</f>
        <v>1088</v>
      </c>
      <c r="D24" s="1">
        <f>VLOOKUP(Table137[[#This Row],[Code]],'New York'!A:F,6,0)</f>
        <v>90</v>
      </c>
      <c r="E24" s="11"/>
      <c r="F24" s="1">
        <f>Table137[[#This Row],[Box]]-Table137[[#This Row],[Order]]</f>
        <v>90</v>
      </c>
    </row>
    <row r="25" spans="1:6" x14ac:dyDescent="0.25">
      <c r="A25" s="1" t="s">
        <v>28</v>
      </c>
      <c r="B25" s="1" t="s">
        <v>76</v>
      </c>
      <c r="C25" s="1">
        <f>VLOOKUP(Table137[[#This Row],[Code]],'Main Storage'!A:D,3,0)</f>
        <v>8</v>
      </c>
      <c r="D25" s="1">
        <f>VLOOKUP(Table137[[#This Row],[Code]],'New York'!A:F,6,0)</f>
        <v>0</v>
      </c>
      <c r="E25" s="11"/>
      <c r="F25" s="1">
        <f>Table137[[#This Row],[Box]]-Table137[[#This Row],[Order]]</f>
        <v>0</v>
      </c>
    </row>
    <row r="26" spans="1:6" x14ac:dyDescent="0.25">
      <c r="A26" s="1" t="s">
        <v>29</v>
      </c>
      <c r="B26" s="1" t="s">
        <v>77</v>
      </c>
      <c r="C26" s="1">
        <f>VLOOKUP(Table137[[#This Row],[Code]],'Main Storage'!A:D,3,0)</f>
        <v>82</v>
      </c>
      <c r="D26" s="1">
        <f>VLOOKUP(Table137[[#This Row],[Code]],'New York'!A:F,6,0)</f>
        <v>6</v>
      </c>
      <c r="E26" s="11"/>
      <c r="F26" s="1">
        <f>Table137[[#This Row],[Box]]-Table137[[#This Row],[Order]]</f>
        <v>6</v>
      </c>
    </row>
    <row r="27" spans="1:6" x14ac:dyDescent="0.25">
      <c r="A27" s="1" t="s">
        <v>30</v>
      </c>
      <c r="B27" s="1" t="s">
        <v>78</v>
      </c>
      <c r="C27" s="1">
        <f>VLOOKUP(Table137[[#This Row],[Code]],'Main Storage'!A:D,3,0)</f>
        <v>518</v>
      </c>
      <c r="D27" s="1">
        <f>VLOOKUP(Table137[[#This Row],[Code]],'New York'!A:F,6,0)</f>
        <v>43</v>
      </c>
      <c r="E27" s="11"/>
      <c r="F27" s="1">
        <f>Table137[[#This Row],[Box]]-Table137[[#This Row],[Order]]</f>
        <v>43</v>
      </c>
    </row>
    <row r="28" spans="1:6" x14ac:dyDescent="0.25">
      <c r="A28" s="1" t="s">
        <v>31</v>
      </c>
      <c r="B28" s="1" t="s">
        <v>79</v>
      </c>
      <c r="C28" s="1">
        <f>VLOOKUP(Table137[[#This Row],[Code]],'Main Storage'!A:D,3,0)</f>
        <v>459</v>
      </c>
      <c r="D28" s="1">
        <f>VLOOKUP(Table137[[#This Row],[Code]],'New York'!A:F,6,0)</f>
        <v>38</v>
      </c>
      <c r="E28" s="11"/>
      <c r="F28" s="1">
        <f>Table137[[#This Row],[Box]]-Table137[[#This Row],[Order]]</f>
        <v>38</v>
      </c>
    </row>
    <row r="29" spans="1:6" x14ac:dyDescent="0.25">
      <c r="A29" s="1" t="s">
        <v>32</v>
      </c>
      <c r="B29" s="1" t="s">
        <v>80</v>
      </c>
      <c r="C29" s="1">
        <f>VLOOKUP(Table137[[#This Row],[Code]],'Main Storage'!A:D,3,0)</f>
        <v>305</v>
      </c>
      <c r="D29" s="1">
        <f>VLOOKUP(Table137[[#This Row],[Code]],'New York'!A:F,6,0)</f>
        <v>25</v>
      </c>
      <c r="E29" s="11"/>
      <c r="F29" s="1">
        <f>Table137[[#This Row],[Box]]-Table137[[#This Row],[Order]]</f>
        <v>25</v>
      </c>
    </row>
    <row r="30" spans="1:6" x14ac:dyDescent="0.25">
      <c r="A30" s="1" t="s">
        <v>33</v>
      </c>
      <c r="B30" s="1" t="s">
        <v>81</v>
      </c>
      <c r="C30" s="1">
        <f>VLOOKUP(Table137[[#This Row],[Code]],'Main Storage'!A:D,3,0)</f>
        <v>348</v>
      </c>
      <c r="D30" s="1">
        <f>VLOOKUP(Table137[[#This Row],[Code]],'New York'!A:F,6,0)</f>
        <v>29</v>
      </c>
      <c r="E30" s="11"/>
      <c r="F30" s="1">
        <f>Table137[[#This Row],[Box]]-Table137[[#This Row],[Order]]</f>
        <v>29</v>
      </c>
    </row>
    <row r="31" spans="1:6" x14ac:dyDescent="0.25">
      <c r="A31" s="1" t="s">
        <v>34</v>
      </c>
      <c r="B31" s="1" t="s">
        <v>82</v>
      </c>
      <c r="C31" s="1">
        <f>VLOOKUP(Table137[[#This Row],[Code]],'Main Storage'!A:D,3,0)</f>
        <v>222</v>
      </c>
      <c r="D31" s="1">
        <f>VLOOKUP(Table137[[#This Row],[Code]],'New York'!A:F,6,0)</f>
        <v>18</v>
      </c>
      <c r="E31" s="11"/>
      <c r="F31" s="1">
        <f>Table137[[#This Row],[Box]]-Table137[[#This Row],[Order]]</f>
        <v>18</v>
      </c>
    </row>
    <row r="32" spans="1:6" x14ac:dyDescent="0.25">
      <c r="A32" s="1" t="s">
        <v>35</v>
      </c>
      <c r="B32" s="1" t="s">
        <v>83</v>
      </c>
      <c r="C32" s="1">
        <f>VLOOKUP(Table137[[#This Row],[Code]],'Main Storage'!A:D,3,0)</f>
        <v>729</v>
      </c>
      <c r="D32" s="1">
        <f>VLOOKUP(Table137[[#This Row],[Code]],'New York'!A:F,6,0)</f>
        <v>60</v>
      </c>
      <c r="E32" s="11"/>
      <c r="F32" s="1">
        <f>Table137[[#This Row],[Box]]-Table137[[#This Row],[Order]]</f>
        <v>60</v>
      </c>
    </row>
    <row r="33" spans="1:6" x14ac:dyDescent="0.25">
      <c r="A33" s="1" t="s">
        <v>36</v>
      </c>
      <c r="B33" s="1" t="s">
        <v>84</v>
      </c>
      <c r="C33" s="1">
        <f>VLOOKUP(Table137[[#This Row],[Code]],'Main Storage'!A:D,3,0)</f>
        <v>874</v>
      </c>
      <c r="D33" s="1">
        <f>VLOOKUP(Table137[[#This Row],[Code]],'New York'!A:F,6,0)</f>
        <v>72</v>
      </c>
      <c r="E33" s="11"/>
      <c r="F33" s="1">
        <f>Table137[[#This Row],[Box]]-Table137[[#This Row],[Order]]</f>
        <v>72</v>
      </c>
    </row>
    <row r="34" spans="1:6" x14ac:dyDescent="0.25">
      <c r="A34" s="1" t="s">
        <v>37</v>
      </c>
      <c r="B34" s="1" t="s">
        <v>85</v>
      </c>
      <c r="C34" s="1">
        <f>VLOOKUP(Table137[[#This Row],[Code]],'Main Storage'!A:D,3,0)</f>
        <v>377</v>
      </c>
      <c r="D34" s="1">
        <f>VLOOKUP(Table137[[#This Row],[Code]],'New York'!A:F,6,0)</f>
        <v>31</v>
      </c>
      <c r="E34" s="11"/>
      <c r="F34" s="1">
        <f>Table137[[#This Row],[Box]]-Table137[[#This Row],[Order]]</f>
        <v>31</v>
      </c>
    </row>
    <row r="35" spans="1:6" x14ac:dyDescent="0.25">
      <c r="A35" s="1" t="s">
        <v>38</v>
      </c>
      <c r="B35" s="1" t="s">
        <v>86</v>
      </c>
      <c r="C35" s="1">
        <f>VLOOKUP(Table137[[#This Row],[Code]],'Main Storage'!A:D,3,0)</f>
        <v>1189</v>
      </c>
      <c r="D35" s="1">
        <f>VLOOKUP(Table137[[#This Row],[Code]],'New York'!A:F,6,0)</f>
        <v>99</v>
      </c>
      <c r="E35" s="11"/>
      <c r="F35" s="1">
        <f>Table137[[#This Row],[Box]]-Table137[[#This Row],[Order]]</f>
        <v>99</v>
      </c>
    </row>
    <row r="36" spans="1:6" x14ac:dyDescent="0.25">
      <c r="A36" s="1" t="s">
        <v>39</v>
      </c>
      <c r="B36" s="1" t="s">
        <v>87</v>
      </c>
      <c r="C36" s="1">
        <f>VLOOKUP(Table137[[#This Row],[Code]],'Main Storage'!A:D,3,0)</f>
        <v>1006</v>
      </c>
      <c r="D36" s="1">
        <f>VLOOKUP(Table137[[#This Row],[Code]],'New York'!A:F,6,0)</f>
        <v>83</v>
      </c>
      <c r="E36" s="11"/>
      <c r="F36" s="1">
        <f>Table137[[#This Row],[Box]]-Table137[[#This Row],[Order]]</f>
        <v>83</v>
      </c>
    </row>
    <row r="37" spans="1:6" x14ac:dyDescent="0.25">
      <c r="A37" s="1" t="s">
        <v>40</v>
      </c>
      <c r="B37" s="1" t="s">
        <v>88</v>
      </c>
      <c r="C37" s="1">
        <f>VLOOKUP(Table137[[#This Row],[Code]],'Main Storage'!A:D,3,0)</f>
        <v>59</v>
      </c>
      <c r="D37" s="1">
        <f>VLOOKUP(Table137[[#This Row],[Code]],'New York'!A:F,6,0)</f>
        <v>4</v>
      </c>
      <c r="E37" s="11"/>
      <c r="F37" s="1">
        <f>Table137[[#This Row],[Box]]-Table137[[#This Row],[Order]]</f>
        <v>4</v>
      </c>
    </row>
    <row r="38" spans="1:6" x14ac:dyDescent="0.25">
      <c r="A38" s="1" t="s">
        <v>41</v>
      </c>
      <c r="B38" s="1" t="s">
        <v>89</v>
      </c>
      <c r="C38" s="1">
        <f>VLOOKUP(Table137[[#This Row],[Code]],'Main Storage'!A:D,3,0)</f>
        <v>1087</v>
      </c>
      <c r="D38" s="1">
        <f>VLOOKUP(Table137[[#This Row],[Code]],'New York'!A:F,6,0)</f>
        <v>90</v>
      </c>
      <c r="E38" s="11"/>
      <c r="F38" s="1">
        <f>Table137[[#This Row],[Box]]-Table137[[#This Row],[Order]]</f>
        <v>90</v>
      </c>
    </row>
    <row r="39" spans="1:6" x14ac:dyDescent="0.25">
      <c r="A39" s="1" t="s">
        <v>42</v>
      </c>
      <c r="B39" s="1" t="s">
        <v>90</v>
      </c>
      <c r="C39" s="1">
        <f>VLOOKUP(Table137[[#This Row],[Code]],'Main Storage'!A:D,3,0)</f>
        <v>281</v>
      </c>
      <c r="D39" s="1">
        <f>VLOOKUP(Table137[[#This Row],[Code]],'New York'!A:F,6,0)</f>
        <v>23</v>
      </c>
      <c r="E39" s="11"/>
      <c r="F39" s="1">
        <f>Table137[[#This Row],[Box]]-Table137[[#This Row],[Order]]</f>
        <v>23</v>
      </c>
    </row>
    <row r="40" spans="1:6" x14ac:dyDescent="0.25">
      <c r="A40" s="1" t="s">
        <v>43</v>
      </c>
      <c r="B40" s="1" t="s">
        <v>91</v>
      </c>
      <c r="C40" s="1">
        <f>VLOOKUP(Table137[[#This Row],[Code]],'Main Storage'!A:D,3,0)</f>
        <v>1125</v>
      </c>
      <c r="D40" s="1">
        <f>VLOOKUP(Table137[[#This Row],[Code]],'New York'!A:F,6,0)</f>
        <v>93</v>
      </c>
      <c r="E40" s="11"/>
      <c r="F40" s="1">
        <f>Table137[[#This Row],[Box]]-Table137[[#This Row],[Order]]</f>
        <v>93</v>
      </c>
    </row>
    <row r="41" spans="1:6" x14ac:dyDescent="0.25">
      <c r="A41" s="1" t="s">
        <v>44</v>
      </c>
      <c r="B41" s="1" t="s">
        <v>92</v>
      </c>
      <c r="C41" s="1">
        <f>VLOOKUP(Table137[[#This Row],[Code]],'Main Storage'!A:D,3,0)</f>
        <v>281</v>
      </c>
      <c r="D41" s="1">
        <f>VLOOKUP(Table137[[#This Row],[Code]],'New York'!A:F,6,0)</f>
        <v>23</v>
      </c>
      <c r="E41" s="11"/>
      <c r="F41" s="1">
        <f>Table137[[#This Row],[Box]]-Table137[[#This Row],[Order]]</f>
        <v>23</v>
      </c>
    </row>
    <row r="42" spans="1:6" x14ac:dyDescent="0.25">
      <c r="A42" s="1" t="s">
        <v>45</v>
      </c>
      <c r="B42" s="1" t="s">
        <v>93</v>
      </c>
      <c r="C42" s="1">
        <f>VLOOKUP(Table137[[#This Row],[Code]],'Main Storage'!A:D,3,0)</f>
        <v>354</v>
      </c>
      <c r="D42" s="1">
        <f>VLOOKUP(Table137[[#This Row],[Code]],'New York'!A:F,6,0)</f>
        <v>29</v>
      </c>
      <c r="E42" s="11"/>
      <c r="F42" s="1">
        <f>Table137[[#This Row],[Box]]-Table137[[#This Row],[Order]]</f>
        <v>29</v>
      </c>
    </row>
    <row r="43" spans="1:6" x14ac:dyDescent="0.25">
      <c r="A43" s="1" t="s">
        <v>46</v>
      </c>
      <c r="B43" s="1" t="s">
        <v>94</v>
      </c>
      <c r="C43" s="1">
        <f>VLOOKUP(Table137[[#This Row],[Code]],'Main Storage'!A:D,3,0)</f>
        <v>649</v>
      </c>
      <c r="D43" s="1">
        <f>VLOOKUP(Table137[[#This Row],[Code]],'New York'!A:F,6,0)</f>
        <v>54</v>
      </c>
      <c r="E43" s="11"/>
      <c r="F43" s="1">
        <f>Table137[[#This Row],[Box]]-Table137[[#This Row],[Order]]</f>
        <v>54</v>
      </c>
    </row>
    <row r="44" spans="1:6" x14ac:dyDescent="0.25">
      <c r="A44" s="1" t="s">
        <v>47</v>
      </c>
      <c r="B44" s="1" t="s">
        <v>95</v>
      </c>
      <c r="C44" s="1">
        <f>VLOOKUP(Table137[[#This Row],[Code]],'Main Storage'!A:D,3,0)</f>
        <v>1322</v>
      </c>
      <c r="D44" s="1">
        <f>VLOOKUP(Table137[[#This Row],[Code]],'New York'!A:F,6,0)</f>
        <v>110</v>
      </c>
      <c r="E44" s="11"/>
      <c r="F44" s="1">
        <f>Table137[[#This Row],[Box]]-Table137[[#This Row],[Order]]</f>
        <v>110</v>
      </c>
    </row>
    <row r="45" spans="1:6" x14ac:dyDescent="0.25">
      <c r="A45" s="1" t="s">
        <v>48</v>
      </c>
      <c r="B45" s="1" t="s">
        <v>96</v>
      </c>
      <c r="C45" s="1">
        <f>VLOOKUP(Table137[[#This Row],[Code]],'Main Storage'!A:D,3,0)</f>
        <v>1038</v>
      </c>
      <c r="D45" s="1">
        <f>VLOOKUP(Table137[[#This Row],[Code]],'New York'!A:F,6,0)</f>
        <v>86</v>
      </c>
      <c r="E45" s="11"/>
      <c r="F45" s="1">
        <f>Table137[[#This Row],[Box]]-Table137[[#This Row],[Order]]</f>
        <v>86</v>
      </c>
    </row>
    <row r="46" spans="1:6" x14ac:dyDescent="0.25">
      <c r="A46" s="1" t="s">
        <v>49</v>
      </c>
      <c r="B46" s="1" t="s">
        <v>97</v>
      </c>
      <c r="C46" s="1">
        <f>VLOOKUP(Table137[[#This Row],[Code]],'Main Storage'!A:D,3,0)</f>
        <v>340</v>
      </c>
      <c r="D46" s="1">
        <f>VLOOKUP(Table137[[#This Row],[Code]],'New York'!A:F,6,0)</f>
        <v>28</v>
      </c>
      <c r="E46" s="11"/>
      <c r="F46" s="1">
        <f>Table137[[#This Row],[Box]]-Table137[[#This Row],[Order]]</f>
        <v>28</v>
      </c>
    </row>
    <row r="47" spans="1:6" x14ac:dyDescent="0.25">
      <c r="A47" s="1" t="s">
        <v>50</v>
      </c>
      <c r="B47" s="1" t="s">
        <v>98</v>
      </c>
      <c r="C47" s="1">
        <f>VLOOKUP(Table137[[#This Row],[Code]],'Main Storage'!A:D,3,0)</f>
        <v>399</v>
      </c>
      <c r="D47" s="1">
        <f>VLOOKUP(Table137[[#This Row],[Code]],'New York'!A:F,6,0)</f>
        <v>33</v>
      </c>
      <c r="E47" s="11"/>
      <c r="F47" s="1">
        <f>Table137[[#This Row],[Box]]-Table137[[#This Row],[Order]]</f>
        <v>33</v>
      </c>
    </row>
    <row r="48" spans="1:6" x14ac:dyDescent="0.25">
      <c r="A48" s="1" t="s">
        <v>51</v>
      </c>
      <c r="B48" s="1" t="s">
        <v>99</v>
      </c>
      <c r="C48" s="1">
        <f>VLOOKUP(Table137[[#This Row],[Code]],'Main Storage'!A:D,3,0)</f>
        <v>468</v>
      </c>
      <c r="D48" s="1">
        <f>VLOOKUP(Table137[[#This Row],[Code]],'New York'!A:F,6,0)</f>
        <v>39</v>
      </c>
      <c r="E48" s="11"/>
      <c r="F48" s="1">
        <f>Table137[[#This Row],[Box]]-Table137[[#This Row],[Order]]</f>
        <v>39</v>
      </c>
    </row>
    <row r="49" spans="1:6" x14ac:dyDescent="0.25">
      <c r="A49" s="1" t="s">
        <v>52</v>
      </c>
      <c r="B49" s="1" t="s">
        <v>100</v>
      </c>
      <c r="C49" s="1">
        <f>VLOOKUP(Table137[[#This Row],[Code]],'Main Storage'!A:D,3,0)</f>
        <v>829</v>
      </c>
      <c r="D49" s="1">
        <f>VLOOKUP(Table137[[#This Row],[Code]],'New York'!A:F,6,0)</f>
        <v>69</v>
      </c>
      <c r="E49" s="11"/>
      <c r="F49" s="1">
        <f>Table137[[#This Row],[Box]]-Table137[[#This Row],[Order]]</f>
        <v>69</v>
      </c>
    </row>
    <row r="50" spans="1:6" x14ac:dyDescent="0.25">
      <c r="A50" s="1" t="s">
        <v>53</v>
      </c>
      <c r="B50" s="1" t="s">
        <v>101</v>
      </c>
      <c r="C50" s="1">
        <f>VLOOKUP(Table137[[#This Row],[Code]],'Main Storage'!A:D,3,0)</f>
        <v>1420</v>
      </c>
      <c r="D50" s="1">
        <f>VLOOKUP(Table137[[#This Row],[Code]],'New York'!A:F,6,0)</f>
        <v>118</v>
      </c>
      <c r="E50" s="11"/>
      <c r="F50" s="1">
        <f>Table137[[#This Row],[Box]]-Table137[[#This Row],[Order]]</f>
        <v>118</v>
      </c>
    </row>
    <row r="51" spans="1:6" x14ac:dyDescent="0.25">
      <c r="A51" s="1" t="s">
        <v>102</v>
      </c>
      <c r="B51" s="1" t="s">
        <v>152</v>
      </c>
      <c r="C51" s="1">
        <f>VLOOKUP(Table137[[#This Row],[Code]],'Main Storage'!A:D,3,0)</f>
        <v>765</v>
      </c>
      <c r="D51" s="1">
        <f>VLOOKUP(Table137[[#This Row],[Code]],'New York'!A:F,6,0)</f>
        <v>15</v>
      </c>
      <c r="E51" s="11"/>
      <c r="F51" s="1">
        <f>Table137[[#This Row],[Box]]-Table137[[#This Row],[Order]]</f>
        <v>15</v>
      </c>
    </row>
    <row r="52" spans="1:6" x14ac:dyDescent="0.25">
      <c r="A52" s="1" t="s">
        <v>103</v>
      </c>
      <c r="B52" s="1" t="s">
        <v>153</v>
      </c>
      <c r="C52" s="1">
        <f>VLOOKUP(Table137[[#This Row],[Code]],'Main Storage'!A:D,3,0)</f>
        <v>916</v>
      </c>
      <c r="D52" s="1">
        <f>VLOOKUP(Table137[[#This Row],[Code]],'New York'!A:F,6,0)</f>
        <v>19</v>
      </c>
      <c r="E52" s="11"/>
      <c r="F52" s="1">
        <f>Table137[[#This Row],[Box]]-Table137[[#This Row],[Order]]</f>
        <v>19</v>
      </c>
    </row>
    <row r="53" spans="1:6" x14ac:dyDescent="0.25">
      <c r="A53" s="1" t="s">
        <v>104</v>
      </c>
      <c r="B53" s="1" t="s">
        <v>154</v>
      </c>
      <c r="C53" s="1">
        <f>VLOOKUP(Table137[[#This Row],[Code]],'Main Storage'!A:D,3,0)</f>
        <v>1012</v>
      </c>
      <c r="D53" s="1">
        <f>VLOOKUP(Table137[[#This Row],[Code]],'New York'!A:F,6,0)</f>
        <v>21</v>
      </c>
      <c r="E53" s="11"/>
      <c r="F53" s="1">
        <f>Table137[[#This Row],[Box]]-Table137[[#This Row],[Order]]</f>
        <v>21</v>
      </c>
    </row>
    <row r="54" spans="1:6" x14ac:dyDescent="0.25">
      <c r="A54" s="1" t="s">
        <v>105</v>
      </c>
      <c r="B54" s="1" t="s">
        <v>155</v>
      </c>
      <c r="C54" s="1">
        <f>VLOOKUP(Table137[[#This Row],[Code]],'Main Storage'!A:D,3,0)</f>
        <v>299</v>
      </c>
      <c r="D54" s="1">
        <f>VLOOKUP(Table137[[#This Row],[Code]],'New York'!A:F,6,0)</f>
        <v>6</v>
      </c>
      <c r="E54" s="11"/>
      <c r="F54" s="1">
        <f>Table137[[#This Row],[Box]]-Table137[[#This Row],[Order]]</f>
        <v>6</v>
      </c>
    </row>
    <row r="55" spans="1:6" x14ac:dyDescent="0.25">
      <c r="A55" s="1" t="s">
        <v>106</v>
      </c>
      <c r="B55" s="1" t="s">
        <v>156</v>
      </c>
      <c r="C55" s="1">
        <f>VLOOKUP(Table137[[#This Row],[Code]],'Main Storage'!A:D,3,0)</f>
        <v>1361</v>
      </c>
      <c r="D55" s="1">
        <f>VLOOKUP(Table137[[#This Row],[Code]],'New York'!A:F,6,0)</f>
        <v>28</v>
      </c>
      <c r="E55" s="11"/>
      <c r="F55" s="1">
        <f>Table137[[#This Row],[Box]]-Table137[[#This Row],[Order]]</f>
        <v>28</v>
      </c>
    </row>
    <row r="56" spans="1:6" x14ac:dyDescent="0.25">
      <c r="A56" s="1" t="s">
        <v>107</v>
      </c>
      <c r="B56" s="1" t="s">
        <v>157</v>
      </c>
      <c r="C56" s="1">
        <f>VLOOKUP(Table137[[#This Row],[Code]],'Main Storage'!A:D,3,0)</f>
        <v>621</v>
      </c>
      <c r="D56" s="1">
        <f>VLOOKUP(Table137[[#This Row],[Code]],'New York'!A:F,6,0)</f>
        <v>12</v>
      </c>
      <c r="E56" s="11"/>
      <c r="F56" s="1">
        <f>Table137[[#This Row],[Box]]-Table137[[#This Row],[Order]]</f>
        <v>12</v>
      </c>
    </row>
    <row r="57" spans="1:6" x14ac:dyDescent="0.25">
      <c r="A57" s="1" t="s">
        <v>108</v>
      </c>
      <c r="B57" s="1" t="s">
        <v>158</v>
      </c>
      <c r="C57" s="1">
        <f>VLOOKUP(Table137[[#This Row],[Code]],'Main Storage'!A:D,3,0)</f>
        <v>775</v>
      </c>
      <c r="D57" s="1">
        <f>VLOOKUP(Table137[[#This Row],[Code]],'New York'!A:F,6,0)</f>
        <v>16</v>
      </c>
      <c r="E57" s="11"/>
      <c r="F57" s="1">
        <f>Table137[[#This Row],[Box]]-Table137[[#This Row],[Order]]</f>
        <v>16</v>
      </c>
    </row>
    <row r="58" spans="1:6" x14ac:dyDescent="0.25">
      <c r="A58" s="1" t="s">
        <v>109</v>
      </c>
      <c r="B58" s="1" t="s">
        <v>159</v>
      </c>
      <c r="C58" s="1">
        <f>VLOOKUP(Table137[[#This Row],[Code]],'Main Storage'!A:D,3,0)</f>
        <v>316</v>
      </c>
      <c r="D58" s="1">
        <f>VLOOKUP(Table137[[#This Row],[Code]],'New York'!A:F,6,0)</f>
        <v>6</v>
      </c>
      <c r="E58" s="11"/>
      <c r="F58" s="1">
        <f>Table137[[#This Row],[Box]]-Table137[[#This Row],[Order]]</f>
        <v>6</v>
      </c>
    </row>
    <row r="59" spans="1:6" x14ac:dyDescent="0.25">
      <c r="A59" s="1" t="s">
        <v>110</v>
      </c>
      <c r="B59" s="1" t="s">
        <v>160</v>
      </c>
      <c r="C59" s="1">
        <f>VLOOKUP(Table137[[#This Row],[Code]],'Main Storage'!A:D,3,0)</f>
        <v>553</v>
      </c>
      <c r="D59" s="1">
        <f>VLOOKUP(Table137[[#This Row],[Code]],'New York'!A:F,6,0)</f>
        <v>11</v>
      </c>
      <c r="E59" s="11"/>
      <c r="F59" s="1">
        <f>Table137[[#This Row],[Box]]-Table137[[#This Row],[Order]]</f>
        <v>11</v>
      </c>
    </row>
    <row r="60" spans="1:6" x14ac:dyDescent="0.25">
      <c r="A60" s="1" t="s">
        <v>111</v>
      </c>
      <c r="B60" s="1" t="s">
        <v>161</v>
      </c>
      <c r="C60" s="1">
        <f>VLOOKUP(Table137[[#This Row],[Code]],'Main Storage'!A:D,3,0)</f>
        <v>130</v>
      </c>
      <c r="D60" s="1">
        <f>VLOOKUP(Table137[[#This Row],[Code]],'New York'!A:F,6,0)</f>
        <v>2</v>
      </c>
      <c r="E60" s="11"/>
      <c r="F60" s="1">
        <f>Table137[[#This Row],[Box]]-Table137[[#This Row],[Order]]</f>
        <v>2</v>
      </c>
    </row>
    <row r="61" spans="1:6" x14ac:dyDescent="0.25">
      <c r="A61" s="1" t="s">
        <v>112</v>
      </c>
      <c r="B61" s="1" t="s">
        <v>162</v>
      </c>
      <c r="C61" s="1">
        <f>VLOOKUP(Table137[[#This Row],[Code]],'Main Storage'!A:D,3,0)</f>
        <v>890</v>
      </c>
      <c r="D61" s="1">
        <f>VLOOKUP(Table137[[#This Row],[Code]],'New York'!A:F,6,0)</f>
        <v>18</v>
      </c>
      <c r="E61" s="11"/>
      <c r="F61" s="1">
        <f>Table137[[#This Row],[Box]]-Table137[[#This Row],[Order]]</f>
        <v>18</v>
      </c>
    </row>
    <row r="62" spans="1:6" x14ac:dyDescent="0.25">
      <c r="A62" s="1" t="s">
        <v>113</v>
      </c>
      <c r="B62" s="1" t="s">
        <v>163</v>
      </c>
      <c r="C62" s="1">
        <f>VLOOKUP(Table137[[#This Row],[Code]],'Main Storage'!A:D,3,0)</f>
        <v>255</v>
      </c>
      <c r="D62" s="1">
        <f>VLOOKUP(Table137[[#This Row],[Code]],'New York'!A:F,6,0)</f>
        <v>5</v>
      </c>
      <c r="E62" s="11"/>
      <c r="F62" s="1">
        <f>Table137[[#This Row],[Box]]-Table137[[#This Row],[Order]]</f>
        <v>5</v>
      </c>
    </row>
    <row r="63" spans="1:6" x14ac:dyDescent="0.25">
      <c r="A63" s="1" t="s">
        <v>114</v>
      </c>
      <c r="B63" s="1" t="s">
        <v>164</v>
      </c>
      <c r="C63" s="1">
        <f>VLOOKUP(Table137[[#This Row],[Code]],'Main Storage'!A:D,3,0)</f>
        <v>1368</v>
      </c>
      <c r="D63" s="1">
        <f>VLOOKUP(Table137[[#This Row],[Code]],'New York'!A:F,6,0)</f>
        <v>28</v>
      </c>
      <c r="E63" s="11"/>
      <c r="F63" s="1">
        <f>Table137[[#This Row],[Box]]-Table137[[#This Row],[Order]]</f>
        <v>28</v>
      </c>
    </row>
    <row r="64" spans="1:6" x14ac:dyDescent="0.25">
      <c r="A64" s="1" t="s">
        <v>115</v>
      </c>
      <c r="B64" s="1" t="s">
        <v>165</v>
      </c>
      <c r="C64" s="1">
        <f>VLOOKUP(Table137[[#This Row],[Code]],'Main Storage'!A:D,3,0)</f>
        <v>324</v>
      </c>
      <c r="D64" s="1">
        <f>VLOOKUP(Table137[[#This Row],[Code]],'New York'!A:F,6,0)</f>
        <v>6</v>
      </c>
      <c r="E64" s="11"/>
      <c r="F64" s="1">
        <f>Table137[[#This Row],[Box]]-Table137[[#This Row],[Order]]</f>
        <v>6</v>
      </c>
    </row>
    <row r="65" spans="1:6" x14ac:dyDescent="0.25">
      <c r="A65" s="1" t="s">
        <v>116</v>
      </c>
      <c r="B65" s="1" t="s">
        <v>166</v>
      </c>
      <c r="C65" s="1">
        <f>VLOOKUP(Table137[[#This Row],[Code]],'Main Storage'!A:D,3,0)</f>
        <v>997</v>
      </c>
      <c r="D65" s="1">
        <f>VLOOKUP(Table137[[#This Row],[Code]],'New York'!A:F,6,0)</f>
        <v>20</v>
      </c>
      <c r="E65" s="11"/>
      <c r="F65" s="1">
        <f>Table137[[#This Row],[Box]]-Table137[[#This Row],[Order]]</f>
        <v>20</v>
      </c>
    </row>
    <row r="66" spans="1:6" x14ac:dyDescent="0.25">
      <c r="A66" s="1" t="s">
        <v>117</v>
      </c>
      <c r="B66" s="1" t="s">
        <v>167</v>
      </c>
      <c r="C66" s="1">
        <f>VLOOKUP(Table137[[#This Row],[Code]],'Main Storage'!A:D,3,0)</f>
        <v>87</v>
      </c>
      <c r="D66" s="1">
        <f>VLOOKUP(Table137[[#This Row],[Code]],'New York'!A:F,6,0)</f>
        <v>1</v>
      </c>
      <c r="E66" s="11"/>
      <c r="F66" s="1">
        <f>Table137[[#This Row],[Box]]-Table137[[#This Row],[Order]]</f>
        <v>1</v>
      </c>
    </row>
    <row r="67" spans="1:6" x14ac:dyDescent="0.25">
      <c r="A67" s="1" t="s">
        <v>118</v>
      </c>
      <c r="B67" s="1" t="s">
        <v>168</v>
      </c>
      <c r="C67" s="1">
        <f>VLOOKUP(Table137[[#This Row],[Code]],'Main Storage'!A:D,3,0)</f>
        <v>1436</v>
      </c>
      <c r="D67" s="1">
        <f>VLOOKUP(Table137[[#This Row],[Code]],'New York'!A:F,6,0)</f>
        <v>29</v>
      </c>
      <c r="E67" s="11"/>
      <c r="F67" s="1">
        <f>Table137[[#This Row],[Box]]-Table137[[#This Row],[Order]]</f>
        <v>29</v>
      </c>
    </row>
    <row r="68" spans="1:6" x14ac:dyDescent="0.25">
      <c r="A68" s="1" t="s">
        <v>119</v>
      </c>
      <c r="B68" s="1" t="s">
        <v>169</v>
      </c>
      <c r="C68" s="1">
        <f>VLOOKUP(Table137[[#This Row],[Code]],'Main Storage'!A:D,3,0)</f>
        <v>1007</v>
      </c>
      <c r="D68" s="1">
        <f>VLOOKUP(Table137[[#This Row],[Code]],'New York'!A:F,6,0)</f>
        <v>20</v>
      </c>
      <c r="E68" s="11"/>
      <c r="F68" s="1">
        <f>Table137[[#This Row],[Box]]-Table137[[#This Row],[Order]]</f>
        <v>20</v>
      </c>
    </row>
    <row r="69" spans="1:6" x14ac:dyDescent="0.25">
      <c r="A69" s="1" t="s">
        <v>120</v>
      </c>
      <c r="B69" s="1" t="s">
        <v>170</v>
      </c>
      <c r="C69" s="1">
        <f>VLOOKUP(Table137[[#This Row],[Code]],'Main Storage'!A:D,3,0)</f>
        <v>904</v>
      </c>
      <c r="D69" s="1">
        <f>VLOOKUP(Table137[[#This Row],[Code]],'New York'!A:F,6,0)</f>
        <v>18</v>
      </c>
      <c r="E69" s="11"/>
      <c r="F69" s="1">
        <f>Table137[[#This Row],[Box]]-Table137[[#This Row],[Order]]</f>
        <v>18</v>
      </c>
    </row>
    <row r="70" spans="1:6" x14ac:dyDescent="0.25">
      <c r="A70" s="1" t="s">
        <v>121</v>
      </c>
      <c r="B70" s="1" t="s">
        <v>171</v>
      </c>
      <c r="C70" s="1">
        <f>VLOOKUP(Table137[[#This Row],[Code]],'Main Storage'!A:D,3,0)</f>
        <v>432</v>
      </c>
      <c r="D70" s="1">
        <f>VLOOKUP(Table137[[#This Row],[Code]],'New York'!A:F,6,0)</f>
        <v>9</v>
      </c>
      <c r="E70" s="11"/>
      <c r="F70" s="1">
        <f>Table137[[#This Row],[Box]]-Table137[[#This Row],[Order]]</f>
        <v>9</v>
      </c>
    </row>
    <row r="71" spans="1:6" x14ac:dyDescent="0.25">
      <c r="A71" s="1" t="s">
        <v>122</v>
      </c>
      <c r="B71" s="1" t="s">
        <v>172</v>
      </c>
      <c r="C71" s="1">
        <f>VLOOKUP(Table137[[#This Row],[Code]],'Main Storage'!A:D,3,0)</f>
        <v>515</v>
      </c>
      <c r="D71" s="1">
        <f>VLOOKUP(Table137[[#This Row],[Code]],'New York'!A:F,6,0)</f>
        <v>10</v>
      </c>
      <c r="E71" s="11"/>
      <c r="F71" s="1">
        <f>Table137[[#This Row],[Box]]-Table137[[#This Row],[Order]]</f>
        <v>10</v>
      </c>
    </row>
    <row r="72" spans="1:6" x14ac:dyDescent="0.25">
      <c r="A72" s="1" t="s">
        <v>123</v>
      </c>
      <c r="B72" s="1" t="s">
        <v>173</v>
      </c>
      <c r="C72" s="1">
        <f>VLOOKUP(Table137[[#This Row],[Code]],'Main Storage'!A:D,3,0)</f>
        <v>928</v>
      </c>
      <c r="D72" s="1">
        <f>VLOOKUP(Table137[[#This Row],[Code]],'New York'!A:F,6,0)</f>
        <v>19</v>
      </c>
      <c r="E72" s="11"/>
      <c r="F72" s="1">
        <f>Table137[[#This Row],[Box]]-Table137[[#This Row],[Order]]</f>
        <v>19</v>
      </c>
    </row>
    <row r="73" spans="1:6" x14ac:dyDescent="0.25">
      <c r="A73" s="1" t="s">
        <v>124</v>
      </c>
      <c r="B73" s="1" t="s">
        <v>174</v>
      </c>
      <c r="C73" s="1">
        <f>VLOOKUP(Table137[[#This Row],[Code]],'Main Storage'!A:D,3,0)</f>
        <v>565</v>
      </c>
      <c r="D73" s="1">
        <f>VLOOKUP(Table137[[#This Row],[Code]],'New York'!A:F,6,0)</f>
        <v>11</v>
      </c>
      <c r="E73" s="11"/>
      <c r="F73" s="1">
        <f>Table137[[#This Row],[Box]]-Table137[[#This Row],[Order]]</f>
        <v>11</v>
      </c>
    </row>
    <row r="74" spans="1:6" x14ac:dyDescent="0.25">
      <c r="A74" s="1" t="s">
        <v>125</v>
      </c>
      <c r="B74" s="1" t="s">
        <v>175</v>
      </c>
      <c r="C74" s="1">
        <f>VLOOKUP(Table137[[#This Row],[Code]],'Main Storage'!A:D,3,0)</f>
        <v>286</v>
      </c>
      <c r="D74" s="1">
        <f>VLOOKUP(Table137[[#This Row],[Code]],'New York'!A:F,6,0)</f>
        <v>5</v>
      </c>
      <c r="E74" s="11"/>
      <c r="F74" s="1">
        <f>Table137[[#This Row],[Box]]-Table137[[#This Row],[Order]]</f>
        <v>5</v>
      </c>
    </row>
    <row r="75" spans="1:6" x14ac:dyDescent="0.25">
      <c r="A75" s="1" t="s">
        <v>126</v>
      </c>
      <c r="B75" s="1" t="s">
        <v>176</v>
      </c>
      <c r="C75" s="1">
        <f>VLOOKUP(Table137[[#This Row],[Code]],'Main Storage'!A:D,3,0)</f>
        <v>931</v>
      </c>
      <c r="D75" s="1">
        <f>VLOOKUP(Table137[[#This Row],[Code]],'New York'!A:F,6,0)</f>
        <v>19</v>
      </c>
      <c r="E75" s="11"/>
      <c r="F75" s="1">
        <f>Table137[[#This Row],[Box]]-Table137[[#This Row],[Order]]</f>
        <v>19</v>
      </c>
    </row>
    <row r="76" spans="1:6" x14ac:dyDescent="0.25">
      <c r="A76" s="1" t="s">
        <v>127</v>
      </c>
      <c r="B76" s="1" t="s">
        <v>177</v>
      </c>
      <c r="C76" s="1">
        <f>VLOOKUP(Table137[[#This Row],[Code]],'Main Storage'!A:D,3,0)</f>
        <v>1045</v>
      </c>
      <c r="D76" s="1">
        <f>VLOOKUP(Table137[[#This Row],[Code]],'New York'!A:F,6,0)</f>
        <v>21</v>
      </c>
      <c r="E76" s="11"/>
      <c r="F76" s="1">
        <f>Table137[[#This Row],[Box]]-Table137[[#This Row],[Order]]</f>
        <v>21</v>
      </c>
    </row>
    <row r="77" spans="1:6" x14ac:dyDescent="0.25">
      <c r="A77" s="1" t="s">
        <v>128</v>
      </c>
      <c r="B77" s="1" t="s">
        <v>178</v>
      </c>
      <c r="C77" s="1">
        <f>VLOOKUP(Table137[[#This Row],[Code]],'Main Storage'!A:D,3,0)</f>
        <v>1180</v>
      </c>
      <c r="D77" s="1">
        <f>VLOOKUP(Table137[[#This Row],[Code]],'New York'!A:F,6,0)</f>
        <v>24</v>
      </c>
      <c r="E77" s="11"/>
      <c r="F77" s="1">
        <f>Table137[[#This Row],[Box]]-Table137[[#This Row],[Order]]</f>
        <v>24</v>
      </c>
    </row>
    <row r="78" spans="1:6" x14ac:dyDescent="0.25">
      <c r="A78" s="1" t="s">
        <v>129</v>
      </c>
      <c r="B78" s="1" t="s">
        <v>179</v>
      </c>
      <c r="C78" s="1">
        <f>VLOOKUP(Table137[[#This Row],[Code]],'Main Storage'!A:D,3,0)</f>
        <v>804</v>
      </c>
      <c r="D78" s="1">
        <f>VLOOKUP(Table137[[#This Row],[Code]],'New York'!A:F,6,0)</f>
        <v>16</v>
      </c>
      <c r="E78" s="11"/>
      <c r="F78" s="1">
        <f>Table137[[#This Row],[Box]]-Table137[[#This Row],[Order]]</f>
        <v>16</v>
      </c>
    </row>
    <row r="79" spans="1:6" x14ac:dyDescent="0.25">
      <c r="A79" s="1" t="s">
        <v>130</v>
      </c>
      <c r="B79" s="1" t="s">
        <v>180</v>
      </c>
      <c r="C79" s="1">
        <f>VLOOKUP(Table137[[#This Row],[Code]],'Main Storage'!A:D,3,0)</f>
        <v>428</v>
      </c>
      <c r="D79" s="1">
        <f>VLOOKUP(Table137[[#This Row],[Code]],'New York'!A:F,6,0)</f>
        <v>8</v>
      </c>
      <c r="E79" s="11"/>
      <c r="F79" s="1">
        <f>Table137[[#This Row],[Box]]-Table137[[#This Row],[Order]]</f>
        <v>8</v>
      </c>
    </row>
    <row r="80" spans="1:6" x14ac:dyDescent="0.25">
      <c r="A80" s="1" t="s">
        <v>131</v>
      </c>
      <c r="B80" s="1" t="s">
        <v>181</v>
      </c>
      <c r="C80" s="1">
        <f>VLOOKUP(Table137[[#This Row],[Code]],'Main Storage'!A:D,3,0)</f>
        <v>657</v>
      </c>
      <c r="D80" s="1">
        <f>VLOOKUP(Table137[[#This Row],[Code]],'New York'!A:F,6,0)</f>
        <v>13</v>
      </c>
      <c r="E80" s="11"/>
      <c r="F80" s="1">
        <f>Table137[[#This Row],[Box]]-Table137[[#This Row],[Order]]</f>
        <v>13</v>
      </c>
    </row>
    <row r="81" spans="1:6" x14ac:dyDescent="0.25">
      <c r="A81" s="1" t="s">
        <v>132</v>
      </c>
      <c r="B81" s="1" t="s">
        <v>182</v>
      </c>
      <c r="C81" s="1">
        <f>VLOOKUP(Table137[[#This Row],[Code]],'Main Storage'!A:D,3,0)</f>
        <v>1289</v>
      </c>
      <c r="D81" s="1">
        <f>VLOOKUP(Table137[[#This Row],[Code]],'New York'!A:F,6,0)</f>
        <v>26</v>
      </c>
      <c r="E81" s="11"/>
      <c r="F81" s="1">
        <f>Table137[[#This Row],[Box]]-Table137[[#This Row],[Order]]</f>
        <v>26</v>
      </c>
    </row>
    <row r="82" spans="1:6" x14ac:dyDescent="0.25">
      <c r="A82" s="1" t="s">
        <v>133</v>
      </c>
      <c r="B82" s="1" t="s">
        <v>183</v>
      </c>
      <c r="C82" s="1">
        <f>VLOOKUP(Table137[[#This Row],[Code]],'Main Storage'!A:D,3,0)</f>
        <v>1227</v>
      </c>
      <c r="D82" s="1">
        <f>VLOOKUP(Table137[[#This Row],[Code]],'New York'!A:F,6,0)</f>
        <v>25</v>
      </c>
      <c r="E82" s="11"/>
      <c r="F82" s="1">
        <f>Table137[[#This Row],[Box]]-Table137[[#This Row],[Order]]</f>
        <v>25</v>
      </c>
    </row>
    <row r="83" spans="1:6" x14ac:dyDescent="0.25">
      <c r="A83" s="1" t="s">
        <v>134</v>
      </c>
      <c r="B83" s="1" t="s">
        <v>184</v>
      </c>
      <c r="C83" s="1">
        <f>VLOOKUP(Table137[[#This Row],[Code]],'Main Storage'!A:D,3,0)</f>
        <v>1376</v>
      </c>
      <c r="D83" s="1">
        <f>VLOOKUP(Table137[[#This Row],[Code]],'New York'!A:F,6,0)</f>
        <v>28</v>
      </c>
      <c r="E83" s="11"/>
      <c r="F83" s="1">
        <f>Table137[[#This Row],[Box]]-Table137[[#This Row],[Order]]</f>
        <v>28</v>
      </c>
    </row>
    <row r="84" spans="1:6" x14ac:dyDescent="0.25">
      <c r="A84" s="1" t="s">
        <v>135</v>
      </c>
      <c r="B84" s="1" t="s">
        <v>185</v>
      </c>
      <c r="C84" s="1">
        <f>VLOOKUP(Table137[[#This Row],[Code]],'Main Storage'!A:D,3,0)</f>
        <v>436</v>
      </c>
      <c r="D84" s="1">
        <f>VLOOKUP(Table137[[#This Row],[Code]],'New York'!A:F,6,0)</f>
        <v>9</v>
      </c>
      <c r="E84" s="11"/>
      <c r="F84" s="1">
        <f>Table137[[#This Row],[Box]]-Table137[[#This Row],[Order]]</f>
        <v>9</v>
      </c>
    </row>
    <row r="85" spans="1:6" x14ac:dyDescent="0.25">
      <c r="A85" s="1" t="s">
        <v>136</v>
      </c>
      <c r="B85" s="1" t="s">
        <v>186</v>
      </c>
      <c r="C85" s="1">
        <f>VLOOKUP(Table137[[#This Row],[Code]],'Main Storage'!A:D,3,0)</f>
        <v>1340</v>
      </c>
      <c r="D85" s="1">
        <f>VLOOKUP(Table137[[#This Row],[Code]],'New York'!A:F,6,0)</f>
        <v>27</v>
      </c>
      <c r="E85" s="11"/>
      <c r="F85" s="1">
        <f>Table137[[#This Row],[Box]]-Table137[[#This Row],[Order]]</f>
        <v>27</v>
      </c>
    </row>
    <row r="86" spans="1:6" x14ac:dyDescent="0.25">
      <c r="A86" s="1" t="s">
        <v>137</v>
      </c>
      <c r="B86" s="1" t="s">
        <v>187</v>
      </c>
      <c r="C86" s="1">
        <f>VLOOKUP(Table137[[#This Row],[Code]],'Main Storage'!A:D,3,0)</f>
        <v>1218</v>
      </c>
      <c r="D86" s="1">
        <f>VLOOKUP(Table137[[#This Row],[Code]],'New York'!A:F,6,0)</f>
        <v>25</v>
      </c>
      <c r="E86" s="11"/>
      <c r="F86" s="1">
        <f>Table137[[#This Row],[Box]]-Table137[[#This Row],[Order]]</f>
        <v>25</v>
      </c>
    </row>
    <row r="87" spans="1:6" x14ac:dyDescent="0.25">
      <c r="A87" s="1" t="s">
        <v>138</v>
      </c>
      <c r="B87" s="1" t="s">
        <v>188</v>
      </c>
      <c r="C87" s="1">
        <f>VLOOKUP(Table137[[#This Row],[Code]],'Main Storage'!A:D,3,0)</f>
        <v>848</v>
      </c>
      <c r="D87" s="1">
        <f>VLOOKUP(Table137[[#This Row],[Code]],'New York'!A:F,6,0)</f>
        <v>17</v>
      </c>
      <c r="E87" s="11"/>
      <c r="F87" s="1">
        <f>Table137[[#This Row],[Box]]-Table137[[#This Row],[Order]]</f>
        <v>17</v>
      </c>
    </row>
    <row r="88" spans="1:6" x14ac:dyDescent="0.25">
      <c r="A88" s="1" t="s">
        <v>139</v>
      </c>
      <c r="B88" s="1" t="s">
        <v>189</v>
      </c>
      <c r="C88" s="1">
        <f>VLOOKUP(Table137[[#This Row],[Code]],'Main Storage'!A:D,3,0)</f>
        <v>1490</v>
      </c>
      <c r="D88" s="1">
        <f>VLOOKUP(Table137[[#This Row],[Code]],'New York'!A:F,6,0)</f>
        <v>31</v>
      </c>
      <c r="E88" s="11"/>
      <c r="F88" s="1">
        <f>Table137[[#This Row],[Box]]-Table137[[#This Row],[Order]]</f>
        <v>31</v>
      </c>
    </row>
    <row r="89" spans="1:6" x14ac:dyDescent="0.25">
      <c r="A89" s="1" t="s">
        <v>140</v>
      </c>
      <c r="B89" s="1" t="s">
        <v>190</v>
      </c>
      <c r="C89" s="1">
        <f>VLOOKUP(Table137[[#This Row],[Code]],'Main Storage'!A:D,3,0)</f>
        <v>1162</v>
      </c>
      <c r="D89" s="1">
        <f>VLOOKUP(Table137[[#This Row],[Code]],'New York'!A:F,6,0)</f>
        <v>24</v>
      </c>
      <c r="E89" s="11"/>
      <c r="F89" s="1">
        <f>Table137[[#This Row],[Box]]-Table137[[#This Row],[Order]]</f>
        <v>24</v>
      </c>
    </row>
    <row r="90" spans="1:6" x14ac:dyDescent="0.25">
      <c r="A90" s="1" t="s">
        <v>141</v>
      </c>
      <c r="B90" s="1" t="s">
        <v>191</v>
      </c>
      <c r="C90" s="1">
        <f>VLOOKUP(Table137[[#This Row],[Code]],'Main Storage'!A:D,3,0)</f>
        <v>431</v>
      </c>
      <c r="D90" s="1">
        <f>VLOOKUP(Table137[[#This Row],[Code]],'New York'!A:F,6,0)</f>
        <v>8</v>
      </c>
      <c r="E90" s="11"/>
      <c r="F90" s="1">
        <f>Table137[[#This Row],[Box]]-Table137[[#This Row],[Order]]</f>
        <v>8</v>
      </c>
    </row>
    <row r="91" spans="1:6" x14ac:dyDescent="0.25">
      <c r="A91" s="1" t="s">
        <v>142</v>
      </c>
      <c r="B91" s="1" t="s">
        <v>192</v>
      </c>
      <c r="C91" s="1">
        <f>VLOOKUP(Table137[[#This Row],[Code]],'Main Storage'!A:D,3,0)</f>
        <v>496</v>
      </c>
      <c r="D91" s="1">
        <f>VLOOKUP(Table137[[#This Row],[Code]],'New York'!A:F,6,0)</f>
        <v>10</v>
      </c>
      <c r="E91" s="11"/>
      <c r="F91" s="1">
        <f>Table137[[#This Row],[Box]]-Table137[[#This Row],[Order]]</f>
        <v>10</v>
      </c>
    </row>
    <row r="92" spans="1:6" x14ac:dyDescent="0.25">
      <c r="A92" s="1" t="s">
        <v>143</v>
      </c>
      <c r="B92" s="1" t="s">
        <v>193</v>
      </c>
      <c r="C92" s="1">
        <f>VLOOKUP(Table137[[#This Row],[Code]],'Main Storage'!A:D,3,0)</f>
        <v>1340</v>
      </c>
      <c r="D92" s="1">
        <f>VLOOKUP(Table137[[#This Row],[Code]],'New York'!A:F,6,0)</f>
        <v>27</v>
      </c>
      <c r="E92" s="11"/>
      <c r="F92" s="1">
        <f>Table137[[#This Row],[Box]]-Table137[[#This Row],[Order]]</f>
        <v>27</v>
      </c>
    </row>
    <row r="93" spans="1:6" x14ac:dyDescent="0.25">
      <c r="A93" s="1" t="s">
        <v>144</v>
      </c>
      <c r="B93" s="1" t="s">
        <v>194</v>
      </c>
      <c r="C93" s="1">
        <f>VLOOKUP(Table137[[#This Row],[Code]],'Main Storage'!A:D,3,0)</f>
        <v>175</v>
      </c>
      <c r="D93" s="1">
        <f>VLOOKUP(Table137[[#This Row],[Code]],'New York'!A:F,6,0)</f>
        <v>3</v>
      </c>
      <c r="E93" s="11"/>
      <c r="F93" s="1">
        <f>Table137[[#This Row],[Box]]-Table137[[#This Row],[Order]]</f>
        <v>3</v>
      </c>
    </row>
    <row r="94" spans="1:6" x14ac:dyDescent="0.25">
      <c r="A94" s="1" t="s">
        <v>145</v>
      </c>
      <c r="B94" s="1" t="s">
        <v>195</v>
      </c>
      <c r="C94" s="1">
        <f>VLOOKUP(Table137[[#This Row],[Code]],'Main Storage'!A:D,3,0)</f>
        <v>1164</v>
      </c>
      <c r="D94" s="1">
        <f>VLOOKUP(Table137[[#This Row],[Code]],'New York'!A:F,6,0)</f>
        <v>24</v>
      </c>
      <c r="E94" s="11"/>
      <c r="F94" s="1">
        <f>Table137[[#This Row],[Box]]-Table137[[#This Row],[Order]]</f>
        <v>24</v>
      </c>
    </row>
    <row r="95" spans="1:6" x14ac:dyDescent="0.25">
      <c r="A95" s="1" t="s">
        <v>146</v>
      </c>
      <c r="B95" s="1" t="s">
        <v>196</v>
      </c>
      <c r="C95" s="1">
        <f>VLOOKUP(Table137[[#This Row],[Code]],'Main Storage'!A:D,3,0)</f>
        <v>610</v>
      </c>
      <c r="D95" s="1">
        <f>VLOOKUP(Table137[[#This Row],[Code]],'New York'!A:F,6,0)</f>
        <v>12</v>
      </c>
      <c r="E95" s="11"/>
      <c r="F95" s="1">
        <f>Table137[[#This Row],[Box]]-Table137[[#This Row],[Order]]</f>
        <v>12</v>
      </c>
    </row>
    <row r="96" spans="1:6" x14ac:dyDescent="0.25">
      <c r="A96" s="1" t="s">
        <v>147</v>
      </c>
      <c r="B96" s="1" t="s">
        <v>197</v>
      </c>
      <c r="C96" s="1">
        <f>VLOOKUP(Table137[[#This Row],[Code]],'Main Storage'!A:D,3,0)</f>
        <v>26</v>
      </c>
      <c r="D96" s="1">
        <f>VLOOKUP(Table137[[#This Row],[Code]],'New York'!A:F,6,0)</f>
        <v>0</v>
      </c>
      <c r="E96" s="11"/>
      <c r="F96" s="1">
        <f>Table137[[#This Row],[Box]]-Table137[[#This Row],[Order]]</f>
        <v>0</v>
      </c>
    </row>
    <row r="97" spans="1:6" x14ac:dyDescent="0.25">
      <c r="A97" s="1" t="s">
        <v>148</v>
      </c>
      <c r="B97" s="1" t="s">
        <v>198</v>
      </c>
      <c r="C97" s="1">
        <f>VLOOKUP(Table137[[#This Row],[Code]],'Main Storage'!A:D,3,0)</f>
        <v>122</v>
      </c>
      <c r="D97" s="1">
        <f>VLOOKUP(Table137[[#This Row],[Code]],'New York'!A:F,6,0)</f>
        <v>2</v>
      </c>
      <c r="E97" s="11"/>
      <c r="F97" s="1">
        <f>Table137[[#This Row],[Box]]-Table137[[#This Row],[Order]]</f>
        <v>2</v>
      </c>
    </row>
    <row r="98" spans="1:6" x14ac:dyDescent="0.25">
      <c r="A98" s="1" t="s">
        <v>149</v>
      </c>
      <c r="B98" s="1" t="s">
        <v>199</v>
      </c>
      <c r="C98" s="1">
        <f>VLOOKUP(Table137[[#This Row],[Code]],'Main Storage'!A:D,3,0)</f>
        <v>154</v>
      </c>
      <c r="D98" s="1">
        <f>VLOOKUP(Table137[[#This Row],[Code]],'New York'!A:F,6,0)</f>
        <v>3</v>
      </c>
      <c r="E98" s="11"/>
      <c r="F98" s="1">
        <f>Table137[[#This Row],[Box]]-Table137[[#This Row],[Order]]</f>
        <v>3</v>
      </c>
    </row>
    <row r="99" spans="1:6" x14ac:dyDescent="0.25">
      <c r="A99" s="1" t="s">
        <v>150</v>
      </c>
      <c r="B99" s="1" t="s">
        <v>200</v>
      </c>
      <c r="C99" s="1">
        <f>VLOOKUP(Table137[[#This Row],[Code]],'Main Storage'!A:D,3,0)</f>
        <v>1050</v>
      </c>
      <c r="D99" s="1">
        <f>VLOOKUP(Table137[[#This Row],[Code]],'New York'!A:F,6,0)</f>
        <v>21</v>
      </c>
      <c r="E99" s="11"/>
      <c r="F99" s="1">
        <f>Table137[[#This Row],[Box]]-Table137[[#This Row],[Order]]</f>
        <v>21</v>
      </c>
    </row>
    <row r="100" spans="1:6" x14ac:dyDescent="0.25">
      <c r="A100" s="1" t="s">
        <v>151</v>
      </c>
      <c r="B100" s="1" t="s">
        <v>201</v>
      </c>
      <c r="C100" s="1">
        <f>VLOOKUP(Table137[[#This Row],[Code]],'Main Storage'!A:D,3,0)</f>
        <v>1337</v>
      </c>
      <c r="D100" s="1">
        <f>VLOOKUP(Table137[[#This Row],[Code]],'New York'!A:F,6,0)</f>
        <v>27</v>
      </c>
      <c r="E100" s="11"/>
      <c r="F100" s="1">
        <f>Table137[[#This Row],[Box]]-Table137[[#This Row],[Order]]</f>
        <v>27</v>
      </c>
    </row>
    <row r="101" spans="1:6" x14ac:dyDescent="0.25">
      <c r="A101" s="1" t="s">
        <v>204</v>
      </c>
      <c r="B101" s="1" t="s">
        <v>205</v>
      </c>
      <c r="C101" s="1">
        <f>VLOOKUP(Table137[[#This Row],[Code]],'Main Storage'!A:D,3,0)</f>
        <v>330</v>
      </c>
      <c r="D101" s="1">
        <f>VLOOKUP(Table137[[#This Row],[Code]],'New York'!A:F,6,0)</f>
        <v>2</v>
      </c>
      <c r="E101" s="11"/>
      <c r="F101" s="1">
        <f>Table137[[#This Row],[Box]]-Table137[[#This Row],[Order]]</f>
        <v>2</v>
      </c>
    </row>
    <row r="102" spans="1:6" x14ac:dyDescent="0.25">
      <c r="A102" s="1" t="s">
        <v>206</v>
      </c>
      <c r="B102" s="1" t="s">
        <v>207</v>
      </c>
      <c r="C102" s="1">
        <f>VLOOKUP(Table137[[#This Row],[Code]],'Main Storage'!A:D,3,0)</f>
        <v>737</v>
      </c>
      <c r="D102" s="1">
        <f>VLOOKUP(Table137[[#This Row],[Code]],'New York'!A:F,6,0)</f>
        <v>6</v>
      </c>
      <c r="E102" s="11"/>
      <c r="F102" s="1">
        <f>Table137[[#This Row],[Box]]-Table137[[#This Row],[Order]]</f>
        <v>6</v>
      </c>
    </row>
    <row r="103" spans="1:6" x14ac:dyDescent="0.25">
      <c r="A103" s="1" t="s">
        <v>208</v>
      </c>
      <c r="B103" s="1" t="s">
        <v>209</v>
      </c>
      <c r="C103" s="1">
        <f>VLOOKUP(Table137[[#This Row],[Code]],'Main Storage'!A:D,3,0)</f>
        <v>811</v>
      </c>
      <c r="D103" s="1">
        <f>VLOOKUP(Table137[[#This Row],[Code]],'New York'!A:F,6,0)</f>
        <v>6</v>
      </c>
      <c r="E103" s="11"/>
      <c r="F103" s="1">
        <f>Table137[[#This Row],[Box]]-Table137[[#This Row],[Order]]</f>
        <v>6</v>
      </c>
    </row>
    <row r="104" spans="1:6" x14ac:dyDescent="0.25">
      <c r="A104" s="1" t="s">
        <v>210</v>
      </c>
      <c r="B104" s="1" t="s">
        <v>211</v>
      </c>
      <c r="C104" s="1">
        <f>VLOOKUP(Table137[[#This Row],[Code]],'Main Storage'!A:D,3,0)</f>
        <v>533</v>
      </c>
      <c r="D104" s="1">
        <f>VLOOKUP(Table137[[#This Row],[Code]],'New York'!A:F,6,0)</f>
        <v>4</v>
      </c>
      <c r="E104" s="11"/>
      <c r="F104" s="1">
        <f>Table137[[#This Row],[Box]]-Table137[[#This Row],[Order]]</f>
        <v>4</v>
      </c>
    </row>
    <row r="105" spans="1:6" x14ac:dyDescent="0.25">
      <c r="A105" s="1" t="s">
        <v>212</v>
      </c>
      <c r="B105" s="1" t="s">
        <v>213</v>
      </c>
      <c r="C105" s="1">
        <f>VLOOKUP(Table137[[#This Row],[Code]],'Main Storage'!A:D,3,0)</f>
        <v>1484</v>
      </c>
      <c r="D105" s="1">
        <f>VLOOKUP(Table137[[#This Row],[Code]],'New York'!A:F,6,0)</f>
        <v>12</v>
      </c>
      <c r="E105" s="11"/>
      <c r="F105" s="1">
        <f>Table137[[#This Row],[Box]]-Table137[[#This Row],[Order]]</f>
        <v>12</v>
      </c>
    </row>
    <row r="106" spans="1:6" x14ac:dyDescent="0.25">
      <c r="A106" s="1" t="s">
        <v>214</v>
      </c>
      <c r="B106" s="1" t="s">
        <v>215</v>
      </c>
      <c r="C106" s="1">
        <f>VLOOKUP(Table137[[#This Row],[Code]],'Main Storage'!A:D,3,0)</f>
        <v>521</v>
      </c>
      <c r="D106" s="1">
        <f>VLOOKUP(Table137[[#This Row],[Code]],'New York'!A:F,6,0)</f>
        <v>4</v>
      </c>
      <c r="E106" s="11"/>
      <c r="F106" s="1">
        <f>Table137[[#This Row],[Box]]-Table137[[#This Row],[Order]]</f>
        <v>4</v>
      </c>
    </row>
    <row r="107" spans="1:6" x14ac:dyDescent="0.25">
      <c r="A107" s="1" t="s">
        <v>216</v>
      </c>
      <c r="B107" s="1" t="s">
        <v>217</v>
      </c>
      <c r="C107" s="1">
        <f>VLOOKUP(Table137[[#This Row],[Code]],'Main Storage'!A:D,3,0)</f>
        <v>240</v>
      </c>
      <c r="D107" s="1">
        <f>VLOOKUP(Table137[[#This Row],[Code]],'New York'!A:F,6,0)</f>
        <v>2</v>
      </c>
      <c r="E107" s="11"/>
      <c r="F107" s="1">
        <f>Table137[[#This Row],[Box]]-Table137[[#This Row],[Order]]</f>
        <v>2</v>
      </c>
    </row>
    <row r="108" spans="1:6" x14ac:dyDescent="0.25">
      <c r="A108" s="1" t="s">
        <v>218</v>
      </c>
      <c r="B108" s="1" t="s">
        <v>219</v>
      </c>
      <c r="C108" s="1">
        <f>VLOOKUP(Table137[[#This Row],[Code]],'Main Storage'!A:D,3,0)</f>
        <v>946</v>
      </c>
      <c r="D108" s="1">
        <f>VLOOKUP(Table137[[#This Row],[Code]],'New York'!A:F,6,0)</f>
        <v>7</v>
      </c>
      <c r="E108" s="11"/>
      <c r="F108" s="1">
        <f>Table137[[#This Row],[Box]]-Table137[[#This Row],[Order]]</f>
        <v>7</v>
      </c>
    </row>
    <row r="109" spans="1:6" x14ac:dyDescent="0.25">
      <c r="A109" s="1" t="s">
        <v>220</v>
      </c>
      <c r="B109" s="1" t="s">
        <v>221</v>
      </c>
      <c r="C109" s="1">
        <f>VLOOKUP(Table137[[#This Row],[Code]],'Main Storage'!A:D,3,0)</f>
        <v>1447</v>
      </c>
      <c r="D109" s="1">
        <f>VLOOKUP(Table137[[#This Row],[Code]],'New York'!A:F,6,0)</f>
        <v>12</v>
      </c>
      <c r="E109" s="11"/>
      <c r="F109" s="1">
        <f>Table137[[#This Row],[Box]]-Table137[[#This Row],[Order]]</f>
        <v>12</v>
      </c>
    </row>
    <row r="110" spans="1:6" x14ac:dyDescent="0.25">
      <c r="A110" s="1" t="s">
        <v>222</v>
      </c>
      <c r="B110" s="1" t="s">
        <v>223</v>
      </c>
      <c r="C110" s="1">
        <f>VLOOKUP(Table137[[#This Row],[Code]],'Main Storage'!A:D,3,0)</f>
        <v>489</v>
      </c>
      <c r="D110" s="1">
        <f>VLOOKUP(Table137[[#This Row],[Code]],'New York'!A:F,6,0)</f>
        <v>4</v>
      </c>
      <c r="E110" s="11"/>
      <c r="F110" s="1">
        <f>Table137[[#This Row],[Box]]-Table137[[#This Row],[Order]]</f>
        <v>4</v>
      </c>
    </row>
    <row r="111" spans="1:6" x14ac:dyDescent="0.25">
      <c r="A111" s="1" t="s">
        <v>224</v>
      </c>
      <c r="B111" s="1" t="s">
        <v>225</v>
      </c>
      <c r="C111" s="1">
        <f>VLOOKUP(Table137[[#This Row],[Code]],'Main Storage'!A:D,3,0)</f>
        <v>641</v>
      </c>
      <c r="D111" s="1">
        <f>VLOOKUP(Table137[[#This Row],[Code]],'New York'!A:F,6,0)</f>
        <v>5</v>
      </c>
      <c r="E111" s="11"/>
      <c r="F111" s="1">
        <f>Table137[[#This Row],[Box]]-Table137[[#This Row],[Order]]</f>
        <v>5</v>
      </c>
    </row>
    <row r="112" spans="1:6" x14ac:dyDescent="0.25">
      <c r="A112" s="1" t="s">
        <v>226</v>
      </c>
      <c r="B112" s="1" t="s">
        <v>227</v>
      </c>
      <c r="C112" s="1">
        <f>VLOOKUP(Table137[[#This Row],[Code]],'Main Storage'!A:D,3,0)</f>
        <v>790</v>
      </c>
      <c r="D112" s="1">
        <f>VLOOKUP(Table137[[#This Row],[Code]],'New York'!A:F,6,0)</f>
        <v>6</v>
      </c>
      <c r="E112" s="11"/>
      <c r="F112" s="1">
        <f>Table137[[#This Row],[Box]]-Table137[[#This Row],[Order]]</f>
        <v>6</v>
      </c>
    </row>
    <row r="113" spans="1:6" x14ac:dyDescent="0.25">
      <c r="A113" s="1" t="s">
        <v>228</v>
      </c>
      <c r="B113" s="1" t="s">
        <v>229</v>
      </c>
      <c r="C113" s="1">
        <f>VLOOKUP(Table137[[#This Row],[Code]],'Main Storage'!A:D,3,0)</f>
        <v>1153</v>
      </c>
      <c r="D113" s="1">
        <f>VLOOKUP(Table137[[#This Row],[Code]],'New York'!A:F,6,0)</f>
        <v>9</v>
      </c>
      <c r="E113" s="11"/>
      <c r="F113" s="1">
        <f>Table137[[#This Row],[Box]]-Table137[[#This Row],[Order]]</f>
        <v>9</v>
      </c>
    </row>
    <row r="114" spans="1:6" x14ac:dyDescent="0.25">
      <c r="A114" s="1" t="s">
        <v>230</v>
      </c>
      <c r="B114" s="1" t="s">
        <v>231</v>
      </c>
      <c r="C114" s="1">
        <f>VLOOKUP(Table137[[#This Row],[Code]],'Main Storage'!A:D,3,0)</f>
        <v>983</v>
      </c>
      <c r="D114" s="1">
        <f>VLOOKUP(Table137[[#This Row],[Code]],'New York'!A:F,6,0)</f>
        <v>8</v>
      </c>
      <c r="E114" s="11"/>
      <c r="F114" s="1">
        <f>Table137[[#This Row],[Box]]-Table137[[#This Row],[Order]]</f>
        <v>8</v>
      </c>
    </row>
    <row r="115" spans="1:6" x14ac:dyDescent="0.25">
      <c r="A115" s="1" t="s">
        <v>232</v>
      </c>
      <c r="B115" s="1" t="s">
        <v>233</v>
      </c>
      <c r="C115" s="1">
        <f>VLOOKUP(Table137[[#This Row],[Code]],'Main Storage'!A:D,3,0)</f>
        <v>853</v>
      </c>
      <c r="D115" s="1">
        <f>VLOOKUP(Table137[[#This Row],[Code]],'New York'!A:F,6,0)</f>
        <v>7</v>
      </c>
      <c r="E115" s="11"/>
      <c r="F115" s="1">
        <f>Table137[[#This Row],[Box]]-Table137[[#This Row],[Order]]</f>
        <v>7</v>
      </c>
    </row>
    <row r="116" spans="1:6" x14ac:dyDescent="0.25">
      <c r="A116" s="1" t="s">
        <v>234</v>
      </c>
      <c r="B116" s="1" t="s">
        <v>235</v>
      </c>
      <c r="C116" s="1">
        <f>VLOOKUP(Table137[[#This Row],[Code]],'Main Storage'!A:D,3,0)</f>
        <v>356</v>
      </c>
      <c r="D116" s="1">
        <f>VLOOKUP(Table137[[#This Row],[Code]],'New York'!A:F,6,0)</f>
        <v>2</v>
      </c>
      <c r="E116" s="11"/>
      <c r="F116" s="1">
        <f>Table137[[#This Row],[Box]]-Table137[[#This Row],[Order]]</f>
        <v>2</v>
      </c>
    </row>
    <row r="117" spans="1:6" x14ac:dyDescent="0.25">
      <c r="A117" s="1" t="s">
        <v>236</v>
      </c>
      <c r="B117" s="1" t="s">
        <v>237</v>
      </c>
      <c r="C117" s="1">
        <f>VLOOKUP(Table137[[#This Row],[Code]],'Main Storage'!A:D,3,0)</f>
        <v>556</v>
      </c>
      <c r="D117" s="1">
        <f>VLOOKUP(Table137[[#This Row],[Code]],'New York'!A:F,6,0)</f>
        <v>4</v>
      </c>
      <c r="E117" s="11"/>
      <c r="F117" s="1">
        <f>Table137[[#This Row],[Box]]-Table137[[#This Row],[Order]]</f>
        <v>4</v>
      </c>
    </row>
    <row r="118" spans="1:6" x14ac:dyDescent="0.25">
      <c r="A118" s="1" t="s">
        <v>238</v>
      </c>
      <c r="B118" s="1" t="s">
        <v>239</v>
      </c>
      <c r="C118" s="1">
        <f>VLOOKUP(Table137[[#This Row],[Code]],'Main Storage'!A:D,3,0)</f>
        <v>768</v>
      </c>
      <c r="D118" s="1">
        <f>VLOOKUP(Table137[[#This Row],[Code]],'New York'!A:F,6,0)</f>
        <v>6</v>
      </c>
      <c r="E118" s="11"/>
      <c r="F118" s="1">
        <f>Table137[[#This Row],[Box]]-Table137[[#This Row],[Order]]</f>
        <v>6</v>
      </c>
    </row>
    <row r="119" spans="1:6" x14ac:dyDescent="0.25">
      <c r="A119" s="1" t="s">
        <v>240</v>
      </c>
      <c r="B119" s="1" t="s">
        <v>241</v>
      </c>
      <c r="C119" s="1">
        <f>VLOOKUP(Table137[[#This Row],[Code]],'Main Storage'!A:D,3,0)</f>
        <v>582</v>
      </c>
      <c r="D119" s="1">
        <f>VLOOKUP(Table137[[#This Row],[Code]],'New York'!A:F,6,0)</f>
        <v>4</v>
      </c>
      <c r="E119" s="11"/>
      <c r="F119" s="1">
        <f>Table137[[#This Row],[Box]]-Table137[[#This Row],[Order]]</f>
        <v>4</v>
      </c>
    </row>
    <row r="120" spans="1:6" x14ac:dyDescent="0.25">
      <c r="A120" s="1" t="s">
        <v>242</v>
      </c>
      <c r="B120" s="1" t="s">
        <v>243</v>
      </c>
      <c r="C120" s="1">
        <f>VLOOKUP(Table137[[#This Row],[Code]],'Main Storage'!A:D,3,0)</f>
        <v>467</v>
      </c>
      <c r="D120" s="1">
        <f>VLOOKUP(Table137[[#This Row],[Code]],'New York'!A:F,6,0)</f>
        <v>3</v>
      </c>
      <c r="E120" s="11"/>
      <c r="F120" s="1">
        <f>Table137[[#This Row],[Box]]-Table137[[#This Row],[Order]]</f>
        <v>3</v>
      </c>
    </row>
    <row r="121" spans="1:6" x14ac:dyDescent="0.25">
      <c r="A121" s="1" t="s">
        <v>244</v>
      </c>
      <c r="B121" s="1" t="s">
        <v>245</v>
      </c>
      <c r="C121" s="1">
        <f>VLOOKUP(Table137[[#This Row],[Code]],'Main Storage'!A:D,3,0)</f>
        <v>47</v>
      </c>
      <c r="D121" s="1">
        <f>VLOOKUP(Table137[[#This Row],[Code]],'New York'!A:F,6,0)</f>
        <v>0</v>
      </c>
      <c r="E121" s="11"/>
      <c r="F121" s="1">
        <f>Table137[[#This Row],[Box]]-Table137[[#This Row],[Order]]</f>
        <v>0</v>
      </c>
    </row>
    <row r="122" spans="1:6" x14ac:dyDescent="0.25">
      <c r="A122" s="1" t="s">
        <v>246</v>
      </c>
      <c r="B122" s="1" t="s">
        <v>247</v>
      </c>
      <c r="C122" s="1">
        <f>VLOOKUP(Table137[[#This Row],[Code]],'Main Storage'!A:D,3,0)</f>
        <v>463</v>
      </c>
      <c r="D122" s="1">
        <f>VLOOKUP(Table137[[#This Row],[Code]],'New York'!A:F,6,0)</f>
        <v>3</v>
      </c>
      <c r="E122" s="11"/>
      <c r="F122" s="1">
        <f>Table137[[#This Row],[Box]]-Table137[[#This Row],[Order]]</f>
        <v>3</v>
      </c>
    </row>
    <row r="123" spans="1:6" x14ac:dyDescent="0.25">
      <c r="A123" s="1" t="s">
        <v>248</v>
      </c>
      <c r="B123" s="1" t="s">
        <v>249</v>
      </c>
      <c r="C123" s="1">
        <f>VLOOKUP(Table137[[#This Row],[Code]],'Main Storage'!A:D,3,0)</f>
        <v>1434</v>
      </c>
      <c r="D123" s="1">
        <f>VLOOKUP(Table137[[#This Row],[Code]],'New York'!A:F,6,0)</f>
        <v>11</v>
      </c>
      <c r="E123" s="11"/>
      <c r="F123" s="1">
        <f>Table137[[#This Row],[Box]]-Table137[[#This Row],[Order]]</f>
        <v>11</v>
      </c>
    </row>
    <row r="124" spans="1:6" x14ac:dyDescent="0.25">
      <c r="A124" s="1" t="s">
        <v>250</v>
      </c>
      <c r="B124" s="1" t="s">
        <v>251</v>
      </c>
      <c r="C124" s="1">
        <f>VLOOKUP(Table137[[#This Row],[Code]],'Main Storage'!A:D,3,0)</f>
        <v>399</v>
      </c>
      <c r="D124" s="1">
        <f>VLOOKUP(Table137[[#This Row],[Code]],'New York'!A:F,6,0)</f>
        <v>3</v>
      </c>
      <c r="E124" s="11"/>
      <c r="F124" s="1">
        <f>Table137[[#This Row],[Box]]-Table137[[#This Row],[Order]]</f>
        <v>3</v>
      </c>
    </row>
    <row r="125" spans="1:6" x14ac:dyDescent="0.25">
      <c r="A125" s="1" t="s">
        <v>252</v>
      </c>
      <c r="B125" s="1" t="s">
        <v>253</v>
      </c>
      <c r="C125" s="1">
        <f>VLOOKUP(Table137[[#This Row],[Code]],'Main Storage'!A:D,3,0)</f>
        <v>910</v>
      </c>
      <c r="D125" s="1">
        <f>VLOOKUP(Table137[[#This Row],[Code]],'New York'!A:F,6,0)</f>
        <v>7</v>
      </c>
      <c r="E125" s="11"/>
      <c r="F125" s="1">
        <f>Table137[[#This Row],[Box]]-Table137[[#This Row],[Order]]</f>
        <v>7</v>
      </c>
    </row>
    <row r="126" spans="1:6" x14ac:dyDescent="0.25">
      <c r="A126" s="1" t="s">
        <v>254</v>
      </c>
      <c r="B126" s="1" t="s">
        <v>255</v>
      </c>
      <c r="C126" s="1">
        <f>VLOOKUP(Table137[[#This Row],[Code]],'Main Storage'!A:D,3,0)</f>
        <v>710</v>
      </c>
      <c r="D126" s="1">
        <f>VLOOKUP(Table137[[#This Row],[Code]],'New York'!A:F,6,0)</f>
        <v>5</v>
      </c>
      <c r="E126" s="11"/>
      <c r="F126" s="1">
        <f>Table137[[#This Row],[Box]]-Table137[[#This Row],[Order]]</f>
        <v>5</v>
      </c>
    </row>
    <row r="127" spans="1:6" x14ac:dyDescent="0.25">
      <c r="A127" s="1" t="s">
        <v>256</v>
      </c>
      <c r="B127" s="1" t="s">
        <v>257</v>
      </c>
      <c r="C127" s="1">
        <f>VLOOKUP(Table137[[#This Row],[Code]],'Main Storage'!A:D,3,0)</f>
        <v>977</v>
      </c>
      <c r="D127" s="1">
        <f>VLOOKUP(Table137[[#This Row],[Code]],'New York'!A:F,6,0)</f>
        <v>8</v>
      </c>
      <c r="E127" s="11"/>
      <c r="F127" s="1">
        <f>Table137[[#This Row],[Box]]-Table137[[#This Row],[Order]]</f>
        <v>8</v>
      </c>
    </row>
    <row r="128" spans="1:6" x14ac:dyDescent="0.25">
      <c r="A128" s="1" t="s">
        <v>258</v>
      </c>
      <c r="B128" s="1" t="s">
        <v>259</v>
      </c>
      <c r="C128" s="1">
        <f>VLOOKUP(Table137[[#This Row],[Code]],'Main Storage'!A:D,3,0)</f>
        <v>592</v>
      </c>
      <c r="D128" s="1">
        <f>VLOOKUP(Table137[[#This Row],[Code]],'New York'!A:F,6,0)</f>
        <v>4</v>
      </c>
      <c r="E128" s="11"/>
      <c r="F128" s="1">
        <f>Table137[[#This Row],[Box]]-Table137[[#This Row],[Order]]</f>
        <v>4</v>
      </c>
    </row>
    <row r="129" spans="1:6" x14ac:dyDescent="0.25">
      <c r="A129" s="1" t="s">
        <v>260</v>
      </c>
      <c r="B129" s="1" t="s">
        <v>261</v>
      </c>
      <c r="C129" s="1">
        <f>VLOOKUP(Table137[[#This Row],[Code]],'Main Storage'!A:D,3,0)</f>
        <v>576</v>
      </c>
      <c r="D129" s="1">
        <f>VLOOKUP(Table137[[#This Row],[Code]],'New York'!A:F,6,0)</f>
        <v>4</v>
      </c>
      <c r="E129" s="11"/>
      <c r="F129" s="1">
        <f>Table137[[#This Row],[Box]]-Table137[[#This Row],[Order]]</f>
        <v>4</v>
      </c>
    </row>
    <row r="130" spans="1:6" x14ac:dyDescent="0.25">
      <c r="A130" s="1" t="s">
        <v>262</v>
      </c>
      <c r="B130" s="1" t="s">
        <v>263</v>
      </c>
      <c r="C130" s="1">
        <f>VLOOKUP(Table137[[#This Row],[Code]],'Main Storage'!A:D,3,0)</f>
        <v>565</v>
      </c>
      <c r="D130" s="1">
        <f>VLOOKUP(Table137[[#This Row],[Code]],'New York'!A:F,6,0)</f>
        <v>4</v>
      </c>
      <c r="E130" s="11"/>
      <c r="F130" s="1">
        <f>Table137[[#This Row],[Box]]-Table137[[#This Row],[Order]]</f>
        <v>4</v>
      </c>
    </row>
    <row r="131" spans="1:6" x14ac:dyDescent="0.25">
      <c r="A131" s="1" t="s">
        <v>264</v>
      </c>
      <c r="B131" s="1" t="s">
        <v>265</v>
      </c>
      <c r="C131" s="1">
        <f>VLOOKUP(Table137[[#This Row],[Code]],'Main Storage'!A:D,3,0)</f>
        <v>931</v>
      </c>
      <c r="D131" s="1">
        <f>VLOOKUP(Table137[[#This Row],[Code]],'New York'!A:F,6,0)</f>
        <v>7</v>
      </c>
      <c r="E131" s="11"/>
      <c r="F131" s="1">
        <f>Table137[[#This Row],[Box]]-Table137[[#This Row],[Order]]</f>
        <v>7</v>
      </c>
    </row>
    <row r="132" spans="1:6" x14ac:dyDescent="0.25">
      <c r="A132" s="1" t="s">
        <v>266</v>
      </c>
      <c r="B132" s="1" t="s">
        <v>267</v>
      </c>
      <c r="C132" s="1">
        <f>VLOOKUP(Table137[[#This Row],[Code]],'Main Storage'!A:D,3,0)</f>
        <v>791</v>
      </c>
      <c r="D132" s="1">
        <f>VLOOKUP(Table137[[#This Row],[Code]],'New York'!A:F,6,0)</f>
        <v>6</v>
      </c>
      <c r="E132" s="11"/>
      <c r="F132" s="1">
        <f>Table137[[#This Row],[Box]]-Table137[[#This Row],[Order]]</f>
        <v>6</v>
      </c>
    </row>
    <row r="133" spans="1:6" x14ac:dyDescent="0.25">
      <c r="A133" s="1" t="s">
        <v>268</v>
      </c>
      <c r="B133" s="1" t="s">
        <v>269</v>
      </c>
      <c r="C133" s="1">
        <f>VLOOKUP(Table137[[#This Row],[Code]],'Main Storage'!A:D,3,0)</f>
        <v>274</v>
      </c>
      <c r="D133" s="1">
        <f>VLOOKUP(Table137[[#This Row],[Code]],'New York'!A:F,6,0)</f>
        <v>2</v>
      </c>
      <c r="E133" s="11"/>
      <c r="F133" s="1">
        <f>Table137[[#This Row],[Box]]-Table137[[#This Row],[Order]]</f>
        <v>2</v>
      </c>
    </row>
    <row r="134" spans="1:6" x14ac:dyDescent="0.25">
      <c r="A134" s="1" t="s">
        <v>270</v>
      </c>
      <c r="B134" s="1" t="s">
        <v>271</v>
      </c>
      <c r="C134" s="1">
        <f>VLOOKUP(Table137[[#This Row],[Code]],'Main Storage'!A:D,3,0)</f>
        <v>640</v>
      </c>
      <c r="D134" s="1">
        <f>VLOOKUP(Table137[[#This Row],[Code]],'New York'!A:F,6,0)</f>
        <v>5</v>
      </c>
      <c r="E134" s="11"/>
      <c r="F134" s="1">
        <f>Table137[[#This Row],[Box]]-Table137[[#This Row],[Order]]</f>
        <v>5</v>
      </c>
    </row>
    <row r="135" spans="1:6" x14ac:dyDescent="0.25">
      <c r="A135" s="1" t="s">
        <v>272</v>
      </c>
      <c r="B135" s="1" t="s">
        <v>273</v>
      </c>
      <c r="C135" s="1">
        <f>VLOOKUP(Table137[[#This Row],[Code]],'Main Storage'!A:D,3,0)</f>
        <v>1239</v>
      </c>
      <c r="D135" s="1">
        <f>VLOOKUP(Table137[[#This Row],[Code]],'New York'!A:F,6,0)</f>
        <v>10</v>
      </c>
      <c r="E135" s="11"/>
      <c r="F135" s="1">
        <f>Table137[[#This Row],[Box]]-Table137[[#This Row],[Order]]</f>
        <v>10</v>
      </c>
    </row>
    <row r="136" spans="1:6" x14ac:dyDescent="0.25">
      <c r="A136" s="1" t="s">
        <v>274</v>
      </c>
      <c r="B136" s="1" t="s">
        <v>275</v>
      </c>
      <c r="C136" s="1">
        <f>VLOOKUP(Table137[[#This Row],[Code]],'Main Storage'!A:D,3,0)</f>
        <v>359</v>
      </c>
      <c r="D136" s="1">
        <f>VLOOKUP(Table137[[#This Row],[Code]],'New York'!A:F,6,0)</f>
        <v>2</v>
      </c>
      <c r="E136" s="11"/>
      <c r="F136" s="1">
        <f>Table137[[#This Row],[Box]]-Table137[[#This Row],[Order]]</f>
        <v>2</v>
      </c>
    </row>
    <row r="137" spans="1:6" x14ac:dyDescent="0.25">
      <c r="A137" s="1" t="s">
        <v>276</v>
      </c>
      <c r="B137" s="1" t="s">
        <v>277</v>
      </c>
      <c r="C137" s="1">
        <f>VLOOKUP(Table137[[#This Row],[Code]],'Main Storage'!A:D,3,0)</f>
        <v>495</v>
      </c>
      <c r="D137" s="1">
        <f>VLOOKUP(Table137[[#This Row],[Code]],'New York'!A:F,6,0)</f>
        <v>4</v>
      </c>
      <c r="E137" s="11"/>
      <c r="F137" s="1">
        <f>Table137[[#This Row],[Box]]-Table137[[#This Row],[Order]]</f>
        <v>4</v>
      </c>
    </row>
    <row r="138" spans="1:6" x14ac:dyDescent="0.25">
      <c r="A138" s="1" t="s">
        <v>278</v>
      </c>
      <c r="B138" s="1" t="s">
        <v>279</v>
      </c>
      <c r="C138" s="1">
        <f>VLOOKUP(Table137[[#This Row],[Code]],'Main Storage'!A:D,3,0)</f>
        <v>481</v>
      </c>
      <c r="D138" s="1">
        <f>VLOOKUP(Table137[[#This Row],[Code]],'New York'!A:F,6,0)</f>
        <v>4</v>
      </c>
      <c r="E138" s="11"/>
      <c r="F138" s="1">
        <f>Table137[[#This Row],[Box]]-Table137[[#This Row],[Order]]</f>
        <v>4</v>
      </c>
    </row>
    <row r="139" spans="1:6" x14ac:dyDescent="0.25">
      <c r="A139" s="1" t="s">
        <v>280</v>
      </c>
      <c r="B139" s="1" t="s">
        <v>281</v>
      </c>
      <c r="C139" s="1">
        <f>VLOOKUP(Table137[[#This Row],[Code]],'Main Storage'!A:D,3,0)</f>
        <v>872</v>
      </c>
      <c r="D139" s="1">
        <f>VLOOKUP(Table137[[#This Row],[Code]],'New York'!A:F,6,0)</f>
        <v>7</v>
      </c>
      <c r="E139" s="11"/>
      <c r="F139" s="1">
        <f>Table137[[#This Row],[Box]]-Table137[[#This Row],[Order]]</f>
        <v>7</v>
      </c>
    </row>
    <row r="140" spans="1:6" x14ac:dyDescent="0.25">
      <c r="A140" s="1" t="s">
        <v>282</v>
      </c>
      <c r="B140" s="1" t="s">
        <v>283</v>
      </c>
      <c r="C140" s="1">
        <f>VLOOKUP(Table137[[#This Row],[Code]],'Main Storage'!A:D,3,0)</f>
        <v>864</v>
      </c>
      <c r="D140" s="1">
        <f>VLOOKUP(Table137[[#This Row],[Code]],'New York'!A:F,6,0)</f>
        <v>7</v>
      </c>
      <c r="E140" s="11"/>
      <c r="F140" s="1">
        <f>Table137[[#This Row],[Box]]-Table137[[#This Row],[Order]]</f>
        <v>7</v>
      </c>
    </row>
    <row r="141" spans="1:6" x14ac:dyDescent="0.25">
      <c r="A141" s="1" t="s">
        <v>284</v>
      </c>
      <c r="B141" s="1" t="s">
        <v>285</v>
      </c>
      <c r="C141" s="1">
        <f>VLOOKUP(Table137[[#This Row],[Code]],'Main Storage'!A:D,3,0)</f>
        <v>1498</v>
      </c>
      <c r="D141" s="1">
        <f>VLOOKUP(Table137[[#This Row],[Code]],'New York'!A:F,6,0)</f>
        <v>12</v>
      </c>
      <c r="E141" s="11"/>
      <c r="F141" s="1">
        <f>Table137[[#This Row],[Box]]-Table137[[#This Row],[Order]]</f>
        <v>12</v>
      </c>
    </row>
    <row r="142" spans="1:6" x14ac:dyDescent="0.25">
      <c r="A142" s="1" t="s">
        <v>286</v>
      </c>
      <c r="B142" s="1" t="s">
        <v>287</v>
      </c>
      <c r="C142" s="1">
        <f>VLOOKUP(Table137[[#This Row],[Code]],'Main Storage'!A:D,3,0)</f>
        <v>254</v>
      </c>
      <c r="D142" s="1">
        <f>VLOOKUP(Table137[[#This Row],[Code]],'New York'!A:F,6,0)</f>
        <v>2</v>
      </c>
      <c r="E142" s="11"/>
      <c r="F142" s="1">
        <f>Table137[[#This Row],[Box]]-Table137[[#This Row],[Order]]</f>
        <v>2</v>
      </c>
    </row>
    <row r="143" spans="1:6" x14ac:dyDescent="0.25">
      <c r="A143" s="1" t="s">
        <v>288</v>
      </c>
      <c r="B143" s="1" t="s">
        <v>289</v>
      </c>
      <c r="C143" s="1">
        <f>VLOOKUP(Table137[[#This Row],[Code]],'Main Storage'!A:D,3,0)</f>
        <v>145</v>
      </c>
      <c r="D143" s="1">
        <f>VLOOKUP(Table137[[#This Row],[Code]],'New York'!A:F,6,0)</f>
        <v>1</v>
      </c>
      <c r="E143" s="11"/>
      <c r="F143" s="1">
        <f>Table137[[#This Row],[Box]]-Table137[[#This Row],[Order]]</f>
        <v>1</v>
      </c>
    </row>
    <row r="144" spans="1:6" x14ac:dyDescent="0.25">
      <c r="A144" s="1" t="s">
        <v>290</v>
      </c>
      <c r="B144" s="1" t="s">
        <v>291</v>
      </c>
      <c r="C144" s="1">
        <f>VLOOKUP(Table137[[#This Row],[Code]],'Main Storage'!A:D,3,0)</f>
        <v>193</v>
      </c>
      <c r="D144" s="1">
        <f>VLOOKUP(Table137[[#This Row],[Code]],'New York'!A:F,6,0)</f>
        <v>1</v>
      </c>
      <c r="E144" s="11"/>
      <c r="F144" s="1">
        <f>Table137[[#This Row],[Box]]-Table137[[#This Row],[Order]]</f>
        <v>1</v>
      </c>
    </row>
    <row r="145" spans="1:6" x14ac:dyDescent="0.25">
      <c r="A145" s="1" t="s">
        <v>292</v>
      </c>
      <c r="B145" s="1" t="s">
        <v>293</v>
      </c>
      <c r="C145" s="1">
        <f>VLOOKUP(Table137[[#This Row],[Code]],'Main Storage'!A:D,3,0)</f>
        <v>1478</v>
      </c>
      <c r="D145" s="1">
        <f>VLOOKUP(Table137[[#This Row],[Code]],'New York'!A:F,6,0)</f>
        <v>12</v>
      </c>
      <c r="E145" s="11"/>
      <c r="F145" s="1">
        <f>Table137[[#This Row],[Box]]-Table137[[#This Row],[Order]]</f>
        <v>12</v>
      </c>
    </row>
    <row r="146" spans="1:6" x14ac:dyDescent="0.25">
      <c r="A146" s="1" t="s">
        <v>294</v>
      </c>
      <c r="B146" s="1" t="s">
        <v>295</v>
      </c>
      <c r="C146" s="1">
        <f>VLOOKUP(Table137[[#This Row],[Code]],'Main Storage'!A:D,3,0)</f>
        <v>958</v>
      </c>
      <c r="D146" s="1">
        <f>VLOOKUP(Table137[[#This Row],[Code]],'New York'!A:F,6,0)</f>
        <v>7</v>
      </c>
      <c r="E146" s="11"/>
      <c r="F146" s="1">
        <f>Table137[[#This Row],[Box]]-Table137[[#This Row],[Order]]</f>
        <v>7</v>
      </c>
    </row>
    <row r="147" spans="1:6" x14ac:dyDescent="0.25">
      <c r="A147" s="1" t="s">
        <v>296</v>
      </c>
      <c r="B147" s="1" t="s">
        <v>297</v>
      </c>
      <c r="C147" s="1">
        <f>VLOOKUP(Table137[[#This Row],[Code]],'Main Storage'!A:D,3,0)</f>
        <v>1327</v>
      </c>
      <c r="D147" s="1">
        <f>VLOOKUP(Table137[[#This Row],[Code]],'New York'!A:F,6,0)</f>
        <v>11</v>
      </c>
      <c r="E147" s="11"/>
      <c r="F147" s="1">
        <f>Table137[[#This Row],[Box]]-Table137[[#This Row],[Order]]</f>
        <v>11</v>
      </c>
    </row>
    <row r="148" spans="1:6" x14ac:dyDescent="0.25">
      <c r="A148" s="1" t="s">
        <v>298</v>
      </c>
      <c r="B148" s="1" t="s">
        <v>299</v>
      </c>
      <c r="C148" s="1">
        <f>VLOOKUP(Table137[[#This Row],[Code]],'Main Storage'!A:D,3,0)</f>
        <v>1297</v>
      </c>
      <c r="D148" s="1">
        <f>VLOOKUP(Table137[[#This Row],[Code]],'New York'!A:F,6,0)</f>
        <v>10</v>
      </c>
      <c r="E148" s="11"/>
      <c r="F148" s="1">
        <f>Table137[[#This Row],[Box]]-Table137[[#This Row],[Order]]</f>
        <v>10</v>
      </c>
    </row>
    <row r="149" spans="1:6" x14ac:dyDescent="0.25">
      <c r="A149" s="1" t="s">
        <v>300</v>
      </c>
      <c r="B149" s="1" t="s">
        <v>301</v>
      </c>
      <c r="C149" s="1">
        <f>VLOOKUP(Table137[[#This Row],[Code]],'Main Storage'!A:D,3,0)</f>
        <v>284</v>
      </c>
      <c r="D149" s="1">
        <f>VLOOKUP(Table137[[#This Row],[Code]],'New York'!A:F,6,0)</f>
        <v>2</v>
      </c>
      <c r="E149" s="11"/>
      <c r="F149" s="1">
        <f>Table137[[#This Row],[Box]]-Table137[[#This Row],[Order]]</f>
        <v>2</v>
      </c>
    </row>
    <row r="150" spans="1:6" x14ac:dyDescent="0.25">
      <c r="A150" s="1" t="s">
        <v>302</v>
      </c>
      <c r="B150" s="1" t="s">
        <v>303</v>
      </c>
      <c r="C150" s="1">
        <f>VLOOKUP(Table137[[#This Row],[Code]],'Main Storage'!A:D,3,0)</f>
        <v>177</v>
      </c>
      <c r="D150" s="1">
        <f>VLOOKUP(Table137[[#This Row],[Code]],'New York'!A:F,6,0)</f>
        <v>1</v>
      </c>
      <c r="E150" s="11"/>
      <c r="F150" s="1">
        <f>Table137[[#This Row],[Box]]-Table137[[#This Row],[Order]]</f>
        <v>1</v>
      </c>
    </row>
    <row r="151" spans="1:6" x14ac:dyDescent="0.25">
      <c r="A151" s="1" t="s">
        <v>304</v>
      </c>
      <c r="B151" s="1" t="s">
        <v>305</v>
      </c>
      <c r="C151" s="1">
        <f>VLOOKUP(Table137[[#This Row],[Code]],'Main Storage'!A:D,3,0)</f>
        <v>1288</v>
      </c>
      <c r="D151" s="1">
        <f>VLOOKUP(Table137[[#This Row],[Code]],'New York'!A:F,6,0)</f>
        <v>10</v>
      </c>
      <c r="E151" s="11"/>
      <c r="F151" s="1">
        <f>Table137[[#This Row],[Box]]-Table137[[#This Row],[Order]]</f>
        <v>10</v>
      </c>
    </row>
    <row r="152" spans="1:6" x14ac:dyDescent="0.25">
      <c r="A152" s="1" t="s">
        <v>306</v>
      </c>
      <c r="B152" s="1" t="s">
        <v>307</v>
      </c>
      <c r="C152" s="1">
        <f>VLOOKUP(Table137[[#This Row],[Code]],'Main Storage'!A:D,3,0)</f>
        <v>1050</v>
      </c>
      <c r="D152" s="1">
        <f>VLOOKUP(Table137[[#This Row],[Code]],'New York'!A:F,6,0)</f>
        <v>8</v>
      </c>
      <c r="E152" s="11"/>
      <c r="F152" s="1">
        <f>Table137[[#This Row],[Box]]-Table137[[#This Row],[Order]]</f>
        <v>8</v>
      </c>
    </row>
    <row r="153" spans="1:6" x14ac:dyDescent="0.25">
      <c r="A153" s="1" t="s">
        <v>308</v>
      </c>
      <c r="B153" s="1" t="s">
        <v>309</v>
      </c>
      <c r="C153" s="1">
        <f>VLOOKUP(Table137[[#This Row],[Code]],'Main Storage'!A:D,3,0)</f>
        <v>686</v>
      </c>
      <c r="D153" s="1">
        <f>VLOOKUP(Table137[[#This Row],[Code]],'New York'!A:F,6,0)</f>
        <v>5</v>
      </c>
      <c r="E153" s="11"/>
      <c r="F153" s="1">
        <f>Table137[[#This Row],[Box]]-Table137[[#This Row],[Order]]</f>
        <v>5</v>
      </c>
    </row>
    <row r="154" spans="1:6" x14ac:dyDescent="0.25">
      <c r="A154" s="1" t="s">
        <v>310</v>
      </c>
      <c r="B154" s="1" t="s">
        <v>311</v>
      </c>
      <c r="C154" s="1">
        <f>VLOOKUP(Table137[[#This Row],[Code]],'Main Storage'!A:D,3,0)</f>
        <v>238</v>
      </c>
      <c r="D154" s="1">
        <f>VLOOKUP(Table137[[#This Row],[Code]],'New York'!A:F,6,0)</f>
        <v>1</v>
      </c>
      <c r="E154" s="11"/>
      <c r="F154" s="1">
        <f>Table137[[#This Row],[Box]]-Table137[[#This Row],[Order]]</f>
        <v>1</v>
      </c>
    </row>
    <row r="155" spans="1:6" x14ac:dyDescent="0.25">
      <c r="A155" s="1" t="s">
        <v>312</v>
      </c>
      <c r="B155" s="1" t="s">
        <v>313</v>
      </c>
      <c r="C155" s="1">
        <f>VLOOKUP(Table137[[#This Row],[Code]],'Main Storage'!A:D,3,0)</f>
        <v>1063</v>
      </c>
      <c r="D155" s="1">
        <f>VLOOKUP(Table137[[#This Row],[Code]],'New York'!A:F,6,0)</f>
        <v>8</v>
      </c>
      <c r="E155" s="11"/>
      <c r="F155" s="1">
        <f>Table137[[#This Row],[Box]]-Table137[[#This Row],[Order]]</f>
        <v>8</v>
      </c>
    </row>
    <row r="156" spans="1:6" x14ac:dyDescent="0.25">
      <c r="A156" s="1" t="s">
        <v>314</v>
      </c>
      <c r="B156" s="1" t="s">
        <v>315</v>
      </c>
      <c r="C156" s="1">
        <f>VLOOKUP(Table137[[#This Row],[Code]],'Main Storage'!A:D,3,0)</f>
        <v>508</v>
      </c>
      <c r="D156" s="1">
        <f>VLOOKUP(Table137[[#This Row],[Code]],'New York'!A:F,6,0)</f>
        <v>4</v>
      </c>
      <c r="E156" s="11"/>
      <c r="F156" s="1">
        <f>Table137[[#This Row],[Box]]-Table137[[#This Row],[Order]]</f>
        <v>4</v>
      </c>
    </row>
    <row r="157" spans="1:6" x14ac:dyDescent="0.25">
      <c r="A157" s="1" t="s">
        <v>316</v>
      </c>
      <c r="B157" s="1" t="s">
        <v>317</v>
      </c>
      <c r="C157" s="1">
        <f>VLOOKUP(Table137[[#This Row],[Code]],'Main Storage'!A:D,3,0)</f>
        <v>166</v>
      </c>
      <c r="D157" s="1">
        <f>VLOOKUP(Table137[[#This Row],[Code]],'New York'!A:F,6,0)</f>
        <v>1</v>
      </c>
      <c r="E157" s="11"/>
      <c r="F157" s="1">
        <f>Table137[[#This Row],[Box]]-Table137[[#This Row],[Order]]</f>
        <v>1</v>
      </c>
    </row>
    <row r="158" spans="1:6" x14ac:dyDescent="0.25">
      <c r="A158" s="1" t="s">
        <v>318</v>
      </c>
      <c r="B158" s="1" t="s">
        <v>319</v>
      </c>
      <c r="C158" s="1">
        <f>VLOOKUP(Table137[[#This Row],[Code]],'Main Storage'!A:D,3,0)</f>
        <v>695</v>
      </c>
      <c r="D158" s="1">
        <f>VLOOKUP(Table137[[#This Row],[Code]],'New York'!A:F,6,0)</f>
        <v>5</v>
      </c>
      <c r="E158" s="11"/>
      <c r="F158" s="1">
        <f>Table137[[#This Row],[Box]]-Table137[[#This Row],[Order]]</f>
        <v>5</v>
      </c>
    </row>
    <row r="159" spans="1:6" x14ac:dyDescent="0.25">
      <c r="A159" s="1" t="s">
        <v>320</v>
      </c>
      <c r="B159" s="1" t="s">
        <v>321</v>
      </c>
      <c r="C159" s="1">
        <f>VLOOKUP(Table137[[#This Row],[Code]],'Main Storage'!A:D,3,0)</f>
        <v>1209</v>
      </c>
      <c r="D159" s="1">
        <f>VLOOKUP(Table137[[#This Row],[Code]],'New York'!A:F,6,0)</f>
        <v>10</v>
      </c>
      <c r="E159" s="11"/>
      <c r="F159" s="1">
        <f>Table137[[#This Row],[Box]]-Table137[[#This Row],[Order]]</f>
        <v>10</v>
      </c>
    </row>
    <row r="160" spans="1:6" x14ac:dyDescent="0.25">
      <c r="A160" s="1" t="s">
        <v>322</v>
      </c>
      <c r="B160" s="1" t="s">
        <v>323</v>
      </c>
      <c r="C160" s="1">
        <f>VLOOKUP(Table137[[#This Row],[Code]],'Main Storage'!A:D,3,0)</f>
        <v>458</v>
      </c>
      <c r="D160" s="1">
        <f>VLOOKUP(Table137[[#This Row],[Code]],'New York'!A:F,6,0)</f>
        <v>3</v>
      </c>
      <c r="E160" s="11"/>
      <c r="F160" s="1">
        <f>Table137[[#This Row],[Box]]-Table137[[#This Row],[Order]]</f>
        <v>3</v>
      </c>
    </row>
    <row r="161" spans="1:6" x14ac:dyDescent="0.25">
      <c r="A161" s="1" t="s">
        <v>324</v>
      </c>
      <c r="B161" s="1" t="s">
        <v>325</v>
      </c>
      <c r="C161" s="1">
        <f>VLOOKUP(Table137[[#This Row],[Code]],'Main Storage'!A:D,3,0)</f>
        <v>557</v>
      </c>
      <c r="D161" s="1">
        <f>VLOOKUP(Table137[[#This Row],[Code]],'New York'!A:F,6,0)</f>
        <v>4</v>
      </c>
      <c r="E161" s="11"/>
      <c r="F161" s="1">
        <f>Table137[[#This Row],[Box]]-Table137[[#This Row],[Order]]</f>
        <v>4</v>
      </c>
    </row>
    <row r="162" spans="1:6" x14ac:dyDescent="0.25">
      <c r="A162" s="1" t="s">
        <v>326</v>
      </c>
      <c r="B162" s="1" t="s">
        <v>327</v>
      </c>
      <c r="C162" s="1">
        <f>VLOOKUP(Table137[[#This Row],[Code]],'Main Storage'!A:D,3,0)</f>
        <v>1417</v>
      </c>
      <c r="D162" s="1">
        <f>VLOOKUP(Table137[[#This Row],[Code]],'New York'!A:F,6,0)</f>
        <v>11</v>
      </c>
      <c r="E162" s="11"/>
      <c r="F162" s="1">
        <f>Table137[[#This Row],[Box]]-Table137[[#This Row],[Order]]</f>
        <v>11</v>
      </c>
    </row>
    <row r="163" spans="1:6" x14ac:dyDescent="0.25">
      <c r="A163" s="1" t="s">
        <v>328</v>
      </c>
      <c r="B163" s="1" t="s">
        <v>329</v>
      </c>
      <c r="C163" s="1">
        <f>VLOOKUP(Table137[[#This Row],[Code]],'Main Storage'!A:D,3,0)</f>
        <v>86</v>
      </c>
      <c r="D163" s="1">
        <f>VLOOKUP(Table137[[#This Row],[Code]],'New York'!A:F,6,0)</f>
        <v>0</v>
      </c>
      <c r="E163" s="11"/>
      <c r="F163" s="1">
        <f>Table137[[#This Row],[Box]]-Table137[[#This Row],[Order]]</f>
        <v>0</v>
      </c>
    </row>
    <row r="164" spans="1:6" x14ac:dyDescent="0.25">
      <c r="A164" s="1" t="s">
        <v>330</v>
      </c>
      <c r="B164" s="1" t="s">
        <v>331</v>
      </c>
      <c r="C164" s="1">
        <f>VLOOKUP(Table137[[#This Row],[Code]],'Main Storage'!A:D,3,0)</f>
        <v>531</v>
      </c>
      <c r="D164" s="1">
        <f>VLOOKUP(Table137[[#This Row],[Code]],'New York'!A:F,6,0)</f>
        <v>4</v>
      </c>
      <c r="E164" s="11"/>
      <c r="F164" s="1">
        <f>Table137[[#This Row],[Box]]-Table137[[#This Row],[Order]]</f>
        <v>4</v>
      </c>
    </row>
    <row r="165" spans="1:6" x14ac:dyDescent="0.25">
      <c r="A165" s="1" t="s">
        <v>332</v>
      </c>
      <c r="B165" s="1" t="s">
        <v>333</v>
      </c>
      <c r="C165" s="1">
        <f>VLOOKUP(Table137[[#This Row],[Code]],'Main Storage'!A:D,3,0)</f>
        <v>574</v>
      </c>
      <c r="D165" s="1">
        <f>VLOOKUP(Table137[[#This Row],[Code]],'New York'!A:F,6,0)</f>
        <v>4</v>
      </c>
      <c r="E165" s="11"/>
      <c r="F165" s="1">
        <f>Table137[[#This Row],[Box]]-Table137[[#This Row],[Order]]</f>
        <v>4</v>
      </c>
    </row>
    <row r="166" spans="1:6" x14ac:dyDescent="0.25">
      <c r="A166" s="1" t="s">
        <v>334</v>
      </c>
      <c r="B166" s="1" t="s">
        <v>335</v>
      </c>
      <c r="C166" s="1">
        <f>VLOOKUP(Table137[[#This Row],[Code]],'Main Storage'!A:D,3,0)</f>
        <v>908</v>
      </c>
      <c r="D166" s="1">
        <f>VLOOKUP(Table137[[#This Row],[Code]],'New York'!A:F,6,0)</f>
        <v>7</v>
      </c>
      <c r="E166" s="11"/>
      <c r="F166" s="1">
        <f>Table137[[#This Row],[Box]]-Table137[[#This Row],[Order]]</f>
        <v>7</v>
      </c>
    </row>
    <row r="167" spans="1:6" x14ac:dyDescent="0.25">
      <c r="A167" s="1" t="s">
        <v>336</v>
      </c>
      <c r="B167" s="1" t="s">
        <v>337</v>
      </c>
      <c r="C167" s="1">
        <f>VLOOKUP(Table137[[#This Row],[Code]],'Main Storage'!A:D,3,0)</f>
        <v>546</v>
      </c>
      <c r="D167" s="1">
        <f>VLOOKUP(Table137[[#This Row],[Code]],'New York'!A:F,6,0)</f>
        <v>4</v>
      </c>
      <c r="E167" s="11"/>
      <c r="F167" s="1">
        <f>Table137[[#This Row],[Box]]-Table137[[#This Row],[Order]]</f>
        <v>4</v>
      </c>
    </row>
    <row r="168" spans="1:6" x14ac:dyDescent="0.25">
      <c r="A168" s="1" t="s">
        <v>338</v>
      </c>
      <c r="B168" s="1" t="s">
        <v>339</v>
      </c>
      <c r="C168" s="1">
        <f>VLOOKUP(Table137[[#This Row],[Code]],'Main Storage'!A:D,3,0)</f>
        <v>537</v>
      </c>
      <c r="D168" s="1">
        <f>VLOOKUP(Table137[[#This Row],[Code]],'New York'!A:F,6,0)</f>
        <v>4</v>
      </c>
      <c r="E168" s="11"/>
      <c r="F168" s="1">
        <f>Table137[[#This Row],[Box]]-Table137[[#This Row],[Order]]</f>
        <v>4</v>
      </c>
    </row>
    <row r="169" spans="1:6" x14ac:dyDescent="0.25">
      <c r="A169" s="1" t="s">
        <v>340</v>
      </c>
      <c r="B169" s="1" t="s">
        <v>341</v>
      </c>
      <c r="C169" s="1">
        <f>VLOOKUP(Table137[[#This Row],[Code]],'Main Storage'!A:D,3,0)</f>
        <v>579</v>
      </c>
      <c r="D169" s="1">
        <f>VLOOKUP(Table137[[#This Row],[Code]],'New York'!A:F,6,0)</f>
        <v>4</v>
      </c>
      <c r="E169" s="11"/>
      <c r="F169" s="1">
        <f>Table137[[#This Row],[Box]]-Table137[[#This Row],[Order]]</f>
        <v>4</v>
      </c>
    </row>
    <row r="170" spans="1:6" x14ac:dyDescent="0.25">
      <c r="A170" s="1" t="s">
        <v>342</v>
      </c>
      <c r="B170" s="1" t="s">
        <v>343</v>
      </c>
      <c r="C170" s="1">
        <f>VLOOKUP(Table137[[#This Row],[Code]],'Main Storage'!A:D,3,0)</f>
        <v>975</v>
      </c>
      <c r="D170" s="1">
        <f>VLOOKUP(Table137[[#This Row],[Code]],'New York'!A:F,6,0)</f>
        <v>8</v>
      </c>
      <c r="E170" s="11"/>
      <c r="F170" s="1">
        <f>Table137[[#This Row],[Box]]-Table137[[#This Row],[Order]]</f>
        <v>8</v>
      </c>
    </row>
    <row r="171" spans="1:6" x14ac:dyDescent="0.25">
      <c r="A171" s="1" t="s">
        <v>344</v>
      </c>
      <c r="B171" s="1" t="s">
        <v>345</v>
      </c>
      <c r="C171" s="1">
        <f>VLOOKUP(Table137[[#This Row],[Code]],'Main Storage'!A:D,3,0)</f>
        <v>3</v>
      </c>
      <c r="D171" s="1">
        <f>VLOOKUP(Table137[[#This Row],[Code]],'New York'!A:F,6,0)</f>
        <v>0</v>
      </c>
      <c r="E171" s="11"/>
      <c r="F171" s="1">
        <f>Table137[[#This Row],[Box]]-Table137[[#This Row],[Order]]</f>
        <v>0</v>
      </c>
    </row>
    <row r="172" spans="1:6" x14ac:dyDescent="0.25">
      <c r="A172" s="1" t="s">
        <v>346</v>
      </c>
      <c r="B172" s="1" t="s">
        <v>347</v>
      </c>
      <c r="C172" s="1">
        <f>VLOOKUP(Table137[[#This Row],[Code]],'Main Storage'!A:D,3,0)</f>
        <v>677</v>
      </c>
      <c r="D172" s="1">
        <f>VLOOKUP(Table137[[#This Row],[Code]],'New York'!A:F,6,0)</f>
        <v>5</v>
      </c>
      <c r="E172" s="11"/>
      <c r="F172" s="1">
        <f>Table137[[#This Row],[Box]]-Table137[[#This Row],[Order]]</f>
        <v>5</v>
      </c>
    </row>
    <row r="173" spans="1:6" x14ac:dyDescent="0.25">
      <c r="A173" s="1" t="s">
        <v>348</v>
      </c>
      <c r="B173" s="1" t="s">
        <v>349</v>
      </c>
      <c r="C173" s="1">
        <f>VLOOKUP(Table137[[#This Row],[Code]],'Main Storage'!A:D,3,0)</f>
        <v>1304</v>
      </c>
      <c r="D173" s="1">
        <f>VLOOKUP(Table137[[#This Row],[Code]],'New York'!A:F,6,0)</f>
        <v>10</v>
      </c>
      <c r="E173" s="11"/>
      <c r="F173" s="1">
        <f>Table137[[#This Row],[Box]]-Table137[[#This Row],[Order]]</f>
        <v>10</v>
      </c>
    </row>
    <row r="174" spans="1:6" x14ac:dyDescent="0.25">
      <c r="A174" s="1" t="s">
        <v>350</v>
      </c>
      <c r="B174" s="1" t="s">
        <v>351</v>
      </c>
      <c r="C174" s="1">
        <f>VLOOKUP(Table137[[#This Row],[Code]],'Main Storage'!A:D,3,0)</f>
        <v>929</v>
      </c>
      <c r="D174" s="1">
        <f>VLOOKUP(Table137[[#This Row],[Code]],'New York'!A:F,6,0)</f>
        <v>7</v>
      </c>
      <c r="E174" s="11"/>
      <c r="F174" s="1">
        <f>Table137[[#This Row],[Box]]-Table137[[#This Row],[Order]]</f>
        <v>7</v>
      </c>
    </row>
    <row r="175" spans="1:6" x14ac:dyDescent="0.25">
      <c r="A175" s="1" t="s">
        <v>352</v>
      </c>
      <c r="B175" s="1" t="s">
        <v>353</v>
      </c>
      <c r="C175" s="1">
        <f>VLOOKUP(Table137[[#This Row],[Code]],'Main Storage'!A:D,3,0)</f>
        <v>615</v>
      </c>
      <c r="D175" s="1">
        <f>VLOOKUP(Table137[[#This Row],[Code]],'New York'!A:F,6,0)</f>
        <v>5</v>
      </c>
      <c r="E175" s="11"/>
      <c r="F175" s="1">
        <f>Table137[[#This Row],[Box]]-Table137[[#This Row],[Order]]</f>
        <v>5</v>
      </c>
    </row>
    <row r="176" spans="1:6" x14ac:dyDescent="0.25">
      <c r="A176" s="1" t="s">
        <v>354</v>
      </c>
      <c r="B176" s="1" t="s">
        <v>355</v>
      </c>
      <c r="C176" s="1">
        <f>VLOOKUP(Table137[[#This Row],[Code]],'Main Storage'!A:D,3,0)</f>
        <v>547</v>
      </c>
      <c r="D176" s="1">
        <f>VLOOKUP(Table137[[#This Row],[Code]],'New York'!A:F,6,0)</f>
        <v>4</v>
      </c>
      <c r="E176" s="11"/>
      <c r="F176" s="1">
        <f>Table137[[#This Row],[Box]]-Table137[[#This Row],[Order]]</f>
        <v>4</v>
      </c>
    </row>
    <row r="177" spans="1:6" x14ac:dyDescent="0.25">
      <c r="A177" s="1" t="s">
        <v>356</v>
      </c>
      <c r="B177" s="1" t="s">
        <v>357</v>
      </c>
      <c r="C177" s="1">
        <f>VLOOKUP(Table137[[#This Row],[Code]],'Main Storage'!A:D,3,0)</f>
        <v>481</v>
      </c>
      <c r="D177" s="1">
        <f>VLOOKUP(Table137[[#This Row],[Code]],'New York'!A:F,6,0)</f>
        <v>4</v>
      </c>
      <c r="E177" s="11"/>
      <c r="F177" s="1">
        <f>Table137[[#This Row],[Box]]-Table137[[#This Row],[Order]]</f>
        <v>4</v>
      </c>
    </row>
    <row r="178" spans="1:6" x14ac:dyDescent="0.25">
      <c r="A178" s="1" t="s">
        <v>358</v>
      </c>
      <c r="B178" s="1" t="s">
        <v>359</v>
      </c>
      <c r="C178" s="1">
        <f>VLOOKUP(Table137[[#This Row],[Code]],'Main Storage'!A:D,3,0)</f>
        <v>1371</v>
      </c>
      <c r="D178" s="1">
        <f>VLOOKUP(Table137[[#This Row],[Code]],'New York'!A:F,6,0)</f>
        <v>11</v>
      </c>
      <c r="E178" s="11"/>
      <c r="F178" s="1">
        <f>Table137[[#This Row],[Box]]-Table137[[#This Row],[Order]]</f>
        <v>11</v>
      </c>
    </row>
    <row r="179" spans="1:6" x14ac:dyDescent="0.25">
      <c r="A179" s="1" t="s">
        <v>360</v>
      </c>
      <c r="B179" s="1" t="s">
        <v>361</v>
      </c>
      <c r="C179" s="1">
        <f>VLOOKUP(Table137[[#This Row],[Code]],'Main Storage'!A:D,3,0)</f>
        <v>944</v>
      </c>
      <c r="D179" s="1">
        <f>VLOOKUP(Table137[[#This Row],[Code]],'New York'!A:F,6,0)</f>
        <v>7</v>
      </c>
      <c r="E179" s="11"/>
      <c r="F179" s="1">
        <f>Table137[[#This Row],[Box]]-Table137[[#This Row],[Order]]</f>
        <v>7</v>
      </c>
    </row>
    <row r="180" spans="1:6" x14ac:dyDescent="0.25">
      <c r="A180" s="1" t="s">
        <v>362</v>
      </c>
      <c r="B180" s="1" t="s">
        <v>363</v>
      </c>
      <c r="C180" s="1">
        <f>VLOOKUP(Table137[[#This Row],[Code]],'Main Storage'!A:D,3,0)</f>
        <v>985</v>
      </c>
      <c r="D180" s="1">
        <f>VLOOKUP(Table137[[#This Row],[Code]],'New York'!A:F,6,0)</f>
        <v>8</v>
      </c>
      <c r="E180" s="11"/>
      <c r="F180" s="1">
        <f>Table137[[#This Row],[Box]]-Table137[[#This Row],[Order]]</f>
        <v>8</v>
      </c>
    </row>
    <row r="181" spans="1:6" x14ac:dyDescent="0.25">
      <c r="A181" s="1" t="s">
        <v>364</v>
      </c>
      <c r="B181" s="1" t="s">
        <v>365</v>
      </c>
      <c r="C181" s="1">
        <f>VLOOKUP(Table137[[#This Row],[Code]],'Main Storage'!A:D,3,0)</f>
        <v>1374</v>
      </c>
      <c r="D181" s="1">
        <f>VLOOKUP(Table137[[#This Row],[Code]],'New York'!A:F,6,0)</f>
        <v>11</v>
      </c>
      <c r="E181" s="11"/>
      <c r="F181" s="1">
        <f>Table137[[#This Row],[Box]]-Table137[[#This Row],[Order]]</f>
        <v>11</v>
      </c>
    </row>
    <row r="182" spans="1:6" x14ac:dyDescent="0.25">
      <c r="A182" s="1" t="s">
        <v>366</v>
      </c>
      <c r="B182" s="1" t="s">
        <v>367</v>
      </c>
      <c r="C182" s="1">
        <f>VLOOKUP(Table137[[#This Row],[Code]],'Main Storage'!A:D,3,0)</f>
        <v>326</v>
      </c>
      <c r="D182" s="1">
        <f>VLOOKUP(Table137[[#This Row],[Code]],'New York'!A:F,6,0)</f>
        <v>2</v>
      </c>
      <c r="E182" s="11"/>
      <c r="F182" s="1">
        <f>Table137[[#This Row],[Box]]-Table137[[#This Row],[Order]]</f>
        <v>2</v>
      </c>
    </row>
    <row r="183" spans="1:6" x14ac:dyDescent="0.25">
      <c r="A183" s="1" t="s">
        <v>368</v>
      </c>
      <c r="B183" s="1" t="s">
        <v>369</v>
      </c>
      <c r="C183" s="1">
        <f>VLOOKUP(Table137[[#This Row],[Code]],'Main Storage'!A:D,3,0)</f>
        <v>1218</v>
      </c>
      <c r="D183" s="1">
        <f>VLOOKUP(Table137[[#This Row],[Code]],'New York'!A:F,6,0)</f>
        <v>10</v>
      </c>
      <c r="E183" s="11"/>
      <c r="F183" s="1">
        <f>Table137[[#This Row],[Box]]-Table137[[#This Row],[Order]]</f>
        <v>10</v>
      </c>
    </row>
    <row r="184" spans="1:6" x14ac:dyDescent="0.25">
      <c r="A184" s="1" t="s">
        <v>370</v>
      </c>
      <c r="B184" s="1" t="s">
        <v>371</v>
      </c>
      <c r="C184" s="1">
        <f>VLOOKUP(Table137[[#This Row],[Code]],'Main Storage'!A:D,3,0)</f>
        <v>1121</v>
      </c>
      <c r="D184" s="1">
        <f>VLOOKUP(Table137[[#This Row],[Code]],'New York'!A:F,6,0)</f>
        <v>9</v>
      </c>
      <c r="E184" s="11"/>
      <c r="F184" s="1">
        <f>Table137[[#This Row],[Box]]-Table137[[#This Row],[Order]]</f>
        <v>9</v>
      </c>
    </row>
    <row r="185" spans="1:6" x14ac:dyDescent="0.25">
      <c r="A185" s="1" t="s">
        <v>372</v>
      </c>
      <c r="B185" s="1" t="s">
        <v>373</v>
      </c>
      <c r="C185" s="1">
        <f>VLOOKUP(Table137[[#This Row],[Code]],'Main Storage'!A:D,3,0)</f>
        <v>1192</v>
      </c>
      <c r="D185" s="1">
        <f>VLOOKUP(Table137[[#This Row],[Code]],'New York'!A:F,6,0)</f>
        <v>9</v>
      </c>
      <c r="E185" s="11"/>
      <c r="F185" s="1">
        <f>Table137[[#This Row],[Box]]-Table137[[#This Row],[Order]]</f>
        <v>9</v>
      </c>
    </row>
    <row r="186" spans="1:6" x14ac:dyDescent="0.25">
      <c r="A186" s="1" t="s">
        <v>374</v>
      </c>
      <c r="B186" s="1" t="s">
        <v>375</v>
      </c>
      <c r="C186" s="1">
        <f>VLOOKUP(Table137[[#This Row],[Code]],'Main Storage'!A:D,3,0)</f>
        <v>945</v>
      </c>
      <c r="D186" s="1">
        <f>VLOOKUP(Table137[[#This Row],[Code]],'New York'!A:F,6,0)</f>
        <v>7</v>
      </c>
      <c r="E186" s="11"/>
      <c r="F186" s="1">
        <f>Table137[[#This Row],[Box]]-Table137[[#This Row],[Order]]</f>
        <v>7</v>
      </c>
    </row>
    <row r="187" spans="1:6" x14ac:dyDescent="0.25">
      <c r="A187" s="1" t="s">
        <v>376</v>
      </c>
      <c r="B187" s="1" t="s">
        <v>377</v>
      </c>
      <c r="C187" s="1">
        <f>VLOOKUP(Table137[[#This Row],[Code]],'Main Storage'!A:D,3,0)</f>
        <v>1319</v>
      </c>
      <c r="D187" s="1">
        <f>VLOOKUP(Table137[[#This Row],[Code]],'New York'!A:F,6,0)</f>
        <v>10</v>
      </c>
      <c r="E187" s="11"/>
      <c r="F187" s="1">
        <f>Table137[[#This Row],[Box]]-Table137[[#This Row],[Order]]</f>
        <v>10</v>
      </c>
    </row>
    <row r="188" spans="1:6" x14ac:dyDescent="0.25">
      <c r="A188" s="1" t="s">
        <v>378</v>
      </c>
      <c r="B188" s="1" t="s">
        <v>379</v>
      </c>
      <c r="C188" s="1">
        <f>VLOOKUP(Table137[[#This Row],[Code]],'Main Storage'!A:D,3,0)</f>
        <v>1253</v>
      </c>
      <c r="D188" s="1">
        <f>VLOOKUP(Table137[[#This Row],[Code]],'New York'!A:F,6,0)</f>
        <v>10</v>
      </c>
      <c r="E188" s="11"/>
      <c r="F188" s="1">
        <f>Table137[[#This Row],[Box]]-Table137[[#This Row],[Order]]</f>
        <v>10</v>
      </c>
    </row>
    <row r="189" spans="1:6" x14ac:dyDescent="0.25">
      <c r="A189" s="1" t="s">
        <v>380</v>
      </c>
      <c r="B189" s="1" t="s">
        <v>381</v>
      </c>
      <c r="C189" s="1">
        <f>VLOOKUP(Table137[[#This Row],[Code]],'Main Storage'!A:D,3,0)</f>
        <v>326</v>
      </c>
      <c r="D189" s="1">
        <f>VLOOKUP(Table137[[#This Row],[Code]],'New York'!A:F,6,0)</f>
        <v>2</v>
      </c>
      <c r="E189" s="11"/>
      <c r="F189" s="1">
        <f>Table137[[#This Row],[Box]]-Table137[[#This Row],[Order]]</f>
        <v>2</v>
      </c>
    </row>
    <row r="190" spans="1:6" x14ac:dyDescent="0.25">
      <c r="A190" s="1" t="s">
        <v>382</v>
      </c>
      <c r="B190" s="1" t="s">
        <v>383</v>
      </c>
      <c r="C190" s="1">
        <f>VLOOKUP(Table137[[#This Row],[Code]],'Main Storage'!A:D,3,0)</f>
        <v>1285</v>
      </c>
      <c r="D190" s="1">
        <f>VLOOKUP(Table137[[#This Row],[Code]],'New York'!A:F,6,0)</f>
        <v>10</v>
      </c>
      <c r="E190" s="11"/>
      <c r="F190" s="1">
        <f>Table137[[#This Row],[Box]]-Table137[[#This Row],[Order]]</f>
        <v>10</v>
      </c>
    </row>
    <row r="191" spans="1:6" x14ac:dyDescent="0.25">
      <c r="A191" s="1" t="s">
        <v>384</v>
      </c>
      <c r="B191" s="1" t="s">
        <v>385</v>
      </c>
      <c r="C191" s="1">
        <f>VLOOKUP(Table137[[#This Row],[Code]],'Main Storage'!A:D,3,0)</f>
        <v>1221</v>
      </c>
      <c r="D191" s="1">
        <f>VLOOKUP(Table137[[#This Row],[Code]],'New York'!A:F,6,0)</f>
        <v>10</v>
      </c>
      <c r="E191" s="11"/>
      <c r="F191" s="1">
        <f>Table137[[#This Row],[Box]]-Table137[[#This Row],[Order]]</f>
        <v>10</v>
      </c>
    </row>
    <row r="192" spans="1:6" x14ac:dyDescent="0.25">
      <c r="A192" s="1" t="s">
        <v>386</v>
      </c>
      <c r="B192" s="1" t="s">
        <v>387</v>
      </c>
      <c r="C192" s="1">
        <f>VLOOKUP(Table137[[#This Row],[Code]],'Main Storage'!A:D,3,0)</f>
        <v>83</v>
      </c>
      <c r="D192" s="1">
        <f>VLOOKUP(Table137[[#This Row],[Code]],'New York'!A:F,6,0)</f>
        <v>0</v>
      </c>
      <c r="E192" s="11"/>
      <c r="F192" s="1">
        <f>Table137[[#This Row],[Box]]-Table137[[#This Row],[Order]]</f>
        <v>0</v>
      </c>
    </row>
    <row r="193" spans="1:6" x14ac:dyDescent="0.25">
      <c r="A193" s="1" t="s">
        <v>388</v>
      </c>
      <c r="B193" s="1" t="s">
        <v>389</v>
      </c>
      <c r="C193" s="1">
        <f>VLOOKUP(Table137[[#This Row],[Code]],'Main Storage'!A:D,3,0)</f>
        <v>1436</v>
      </c>
      <c r="D193" s="1">
        <f>VLOOKUP(Table137[[#This Row],[Code]],'New York'!A:F,6,0)</f>
        <v>17</v>
      </c>
      <c r="E193" s="11"/>
      <c r="F193" s="1">
        <f>Table137[[#This Row],[Box]]-Table137[[#This Row],[Order]]</f>
        <v>17</v>
      </c>
    </row>
    <row r="194" spans="1:6" x14ac:dyDescent="0.25">
      <c r="A194" s="1" t="s">
        <v>390</v>
      </c>
      <c r="B194" s="1" t="s">
        <v>391</v>
      </c>
      <c r="C194" s="1">
        <f>VLOOKUP(Table137[[#This Row],[Code]],'Main Storage'!A:D,3,0)</f>
        <v>249</v>
      </c>
      <c r="D194" s="1">
        <f>VLOOKUP(Table137[[#This Row],[Code]],'New York'!A:F,6,0)</f>
        <v>3</v>
      </c>
      <c r="E194" s="11"/>
      <c r="F194" s="1">
        <f>Table137[[#This Row],[Box]]-Table137[[#This Row],[Order]]</f>
        <v>3</v>
      </c>
    </row>
    <row r="195" spans="1:6" x14ac:dyDescent="0.25">
      <c r="A195" s="1" t="s">
        <v>392</v>
      </c>
      <c r="B195" s="1" t="s">
        <v>393</v>
      </c>
      <c r="C195" s="1">
        <f>VLOOKUP(Table137[[#This Row],[Code]],'Main Storage'!A:D,3,0)</f>
        <v>260</v>
      </c>
      <c r="D195" s="1">
        <f>VLOOKUP(Table137[[#This Row],[Code]],'New York'!A:F,6,0)</f>
        <v>3</v>
      </c>
      <c r="E195" s="11"/>
      <c r="F195" s="1">
        <f>Table137[[#This Row],[Box]]-Table137[[#This Row],[Order]]</f>
        <v>3</v>
      </c>
    </row>
    <row r="196" spans="1:6" x14ac:dyDescent="0.25">
      <c r="A196" s="1" t="s">
        <v>394</v>
      </c>
      <c r="B196" s="1" t="s">
        <v>395</v>
      </c>
      <c r="C196" s="1">
        <f>VLOOKUP(Table137[[#This Row],[Code]],'Main Storage'!A:D,3,0)</f>
        <v>337</v>
      </c>
      <c r="D196" s="1">
        <f>VLOOKUP(Table137[[#This Row],[Code]],'New York'!A:F,6,0)</f>
        <v>4</v>
      </c>
      <c r="E196" s="11"/>
      <c r="F196" s="1">
        <f>Table137[[#This Row],[Box]]-Table137[[#This Row],[Order]]</f>
        <v>4</v>
      </c>
    </row>
    <row r="197" spans="1:6" x14ac:dyDescent="0.25">
      <c r="A197" s="1" t="s">
        <v>396</v>
      </c>
      <c r="B197" s="1" t="s">
        <v>397</v>
      </c>
      <c r="C197" s="1">
        <f>VLOOKUP(Table137[[#This Row],[Code]],'Main Storage'!A:D,3,0)</f>
        <v>895</v>
      </c>
      <c r="D197" s="1">
        <f>VLOOKUP(Table137[[#This Row],[Code]],'New York'!A:F,6,0)</f>
        <v>11</v>
      </c>
      <c r="E197" s="11"/>
      <c r="F197" s="1">
        <f>Table137[[#This Row],[Box]]-Table137[[#This Row],[Order]]</f>
        <v>11</v>
      </c>
    </row>
    <row r="198" spans="1:6" x14ac:dyDescent="0.25">
      <c r="A198" s="1" t="s">
        <v>398</v>
      </c>
      <c r="B198" s="1" t="s">
        <v>399</v>
      </c>
      <c r="C198" s="1">
        <f>VLOOKUP(Table137[[#This Row],[Code]],'Main Storage'!A:D,3,0)</f>
        <v>853</v>
      </c>
      <c r="D198" s="1">
        <f>VLOOKUP(Table137[[#This Row],[Code]],'New York'!A:F,6,0)</f>
        <v>10</v>
      </c>
      <c r="E198" s="11"/>
      <c r="F198" s="1">
        <f>Table137[[#This Row],[Box]]-Table137[[#This Row],[Order]]</f>
        <v>10</v>
      </c>
    </row>
    <row r="199" spans="1:6" x14ac:dyDescent="0.25">
      <c r="A199" s="1" t="s">
        <v>400</v>
      </c>
      <c r="B199" s="1" t="s">
        <v>401</v>
      </c>
      <c r="C199" s="1">
        <f>VLOOKUP(Table137[[#This Row],[Code]],'Main Storage'!A:D,3,0)</f>
        <v>551</v>
      </c>
      <c r="D199" s="1">
        <f>VLOOKUP(Table137[[#This Row],[Code]],'New York'!A:F,6,0)</f>
        <v>6</v>
      </c>
      <c r="E199" s="11"/>
      <c r="F199" s="1">
        <f>Table137[[#This Row],[Box]]-Table137[[#This Row],[Order]]</f>
        <v>6</v>
      </c>
    </row>
    <row r="200" spans="1:6" x14ac:dyDescent="0.25">
      <c r="A200" s="1" t="s">
        <v>402</v>
      </c>
      <c r="B200" s="1" t="s">
        <v>403</v>
      </c>
      <c r="C200" s="1">
        <f>VLOOKUP(Table137[[#This Row],[Code]],'Main Storage'!A:D,3,0)</f>
        <v>425</v>
      </c>
      <c r="D200" s="1">
        <f>VLOOKUP(Table137[[#This Row],[Code]],'New York'!A:F,6,0)</f>
        <v>5</v>
      </c>
      <c r="E200" s="11"/>
      <c r="F200" s="1">
        <f>Table137[[#This Row],[Box]]-Table137[[#This Row],[Order]]</f>
        <v>5</v>
      </c>
    </row>
    <row r="201" spans="1:6" x14ac:dyDescent="0.25">
      <c r="A201" s="1" t="s">
        <v>404</v>
      </c>
      <c r="B201" s="1" t="s">
        <v>405</v>
      </c>
      <c r="C201" s="1">
        <f>VLOOKUP(Table137[[#This Row],[Code]],'Main Storage'!A:D,3,0)</f>
        <v>981</v>
      </c>
      <c r="D201" s="1">
        <f>VLOOKUP(Table137[[#This Row],[Code]],'New York'!A:F,6,0)</f>
        <v>12</v>
      </c>
      <c r="E201" s="11"/>
      <c r="F201" s="1">
        <f>Table137[[#This Row],[Box]]-Table137[[#This Row],[Order]]</f>
        <v>12</v>
      </c>
    </row>
    <row r="202" spans="1:6" x14ac:dyDescent="0.25">
      <c r="A202" s="1" t="s">
        <v>406</v>
      </c>
      <c r="B202" s="1" t="s">
        <v>407</v>
      </c>
      <c r="C202" s="1">
        <f>VLOOKUP(Table137[[#This Row],[Code]],'Main Storage'!A:D,3,0)</f>
        <v>922</v>
      </c>
      <c r="D202" s="1">
        <f>VLOOKUP(Table137[[#This Row],[Code]],'New York'!A:F,6,0)</f>
        <v>11</v>
      </c>
      <c r="E202" s="11"/>
      <c r="F202" s="1">
        <f>Table137[[#This Row],[Box]]-Table137[[#This Row],[Order]]</f>
        <v>11</v>
      </c>
    </row>
    <row r="203" spans="1:6" x14ac:dyDescent="0.25">
      <c r="A203" s="1" t="s">
        <v>408</v>
      </c>
      <c r="B203" s="1" t="s">
        <v>409</v>
      </c>
      <c r="C203" s="1">
        <f>VLOOKUP(Table137[[#This Row],[Code]],'Main Storage'!A:D,3,0)</f>
        <v>515</v>
      </c>
      <c r="D203" s="1">
        <f>VLOOKUP(Table137[[#This Row],[Code]],'New York'!A:F,6,0)</f>
        <v>6</v>
      </c>
      <c r="E203" s="11"/>
      <c r="F203" s="1">
        <f>Table137[[#This Row],[Box]]-Table137[[#This Row],[Order]]</f>
        <v>6</v>
      </c>
    </row>
    <row r="204" spans="1:6" x14ac:dyDescent="0.25">
      <c r="A204" s="1" t="s">
        <v>410</v>
      </c>
      <c r="B204" s="1" t="s">
        <v>411</v>
      </c>
      <c r="C204" s="1">
        <f>VLOOKUP(Table137[[#This Row],[Code]],'Main Storage'!A:D,3,0)</f>
        <v>965</v>
      </c>
      <c r="D204" s="1">
        <f>VLOOKUP(Table137[[#This Row],[Code]],'New York'!A:F,6,0)</f>
        <v>12</v>
      </c>
      <c r="E204" s="11"/>
      <c r="F204" s="1">
        <f>Table137[[#This Row],[Box]]-Table137[[#This Row],[Order]]</f>
        <v>12</v>
      </c>
    </row>
    <row r="205" spans="1:6" x14ac:dyDescent="0.25">
      <c r="A205" s="1" t="s">
        <v>412</v>
      </c>
      <c r="B205" s="1" t="s">
        <v>413</v>
      </c>
      <c r="C205" s="1">
        <f>VLOOKUP(Table137[[#This Row],[Code]],'Main Storage'!A:D,3,0)</f>
        <v>1494</v>
      </c>
      <c r="D205" s="1">
        <f>VLOOKUP(Table137[[#This Row],[Code]],'New York'!A:F,6,0)</f>
        <v>18</v>
      </c>
      <c r="E205" s="11"/>
      <c r="F205" s="1">
        <f>Table137[[#This Row],[Box]]-Table137[[#This Row],[Order]]</f>
        <v>18</v>
      </c>
    </row>
    <row r="206" spans="1:6" x14ac:dyDescent="0.25">
      <c r="A206" s="1" t="s">
        <v>414</v>
      </c>
      <c r="B206" s="1" t="s">
        <v>415</v>
      </c>
      <c r="C206" s="1">
        <f>VLOOKUP(Table137[[#This Row],[Code]],'Main Storage'!A:D,3,0)</f>
        <v>450</v>
      </c>
      <c r="D206" s="1">
        <f>VLOOKUP(Table137[[#This Row],[Code]],'New York'!A:F,6,0)</f>
        <v>5</v>
      </c>
      <c r="E206" s="11"/>
      <c r="F206" s="1">
        <f>Table137[[#This Row],[Box]]-Table137[[#This Row],[Order]]</f>
        <v>5</v>
      </c>
    </row>
    <row r="207" spans="1:6" x14ac:dyDescent="0.25">
      <c r="A207" s="1" t="s">
        <v>416</v>
      </c>
      <c r="B207" s="1" t="s">
        <v>417</v>
      </c>
      <c r="C207" s="1">
        <f>VLOOKUP(Table137[[#This Row],[Code]],'Main Storage'!A:D,3,0)</f>
        <v>276</v>
      </c>
      <c r="D207" s="1">
        <f>VLOOKUP(Table137[[#This Row],[Code]],'New York'!A:F,6,0)</f>
        <v>3</v>
      </c>
      <c r="E207" s="11"/>
      <c r="F207" s="1">
        <f>Table137[[#This Row],[Box]]-Table137[[#This Row],[Order]]</f>
        <v>3</v>
      </c>
    </row>
    <row r="208" spans="1:6" x14ac:dyDescent="0.25">
      <c r="A208" s="1" t="s">
        <v>418</v>
      </c>
      <c r="B208" s="1" t="s">
        <v>419</v>
      </c>
      <c r="C208" s="1">
        <f>VLOOKUP(Table137[[#This Row],[Code]],'Main Storage'!A:D,3,0)</f>
        <v>189</v>
      </c>
      <c r="D208" s="1">
        <f>VLOOKUP(Table137[[#This Row],[Code]],'New York'!A:F,6,0)</f>
        <v>2</v>
      </c>
      <c r="E208" s="11"/>
      <c r="F208" s="1">
        <f>Table137[[#This Row],[Box]]-Table137[[#This Row],[Order]]</f>
        <v>2</v>
      </c>
    </row>
    <row r="209" spans="1:6" x14ac:dyDescent="0.25">
      <c r="A209" s="1" t="s">
        <v>420</v>
      </c>
      <c r="B209" s="1" t="s">
        <v>421</v>
      </c>
      <c r="C209" s="1">
        <f>VLOOKUP(Table137[[#This Row],[Code]],'Main Storage'!A:D,3,0)</f>
        <v>871</v>
      </c>
      <c r="D209" s="1">
        <f>VLOOKUP(Table137[[#This Row],[Code]],'New York'!A:F,6,0)</f>
        <v>10</v>
      </c>
      <c r="E209" s="11"/>
      <c r="F209" s="1">
        <f>Table137[[#This Row],[Box]]-Table137[[#This Row],[Order]]</f>
        <v>10</v>
      </c>
    </row>
    <row r="210" spans="1:6" x14ac:dyDescent="0.25">
      <c r="A210" s="1" t="s">
        <v>422</v>
      </c>
      <c r="B210" s="1" t="s">
        <v>423</v>
      </c>
      <c r="C210" s="1">
        <f>VLOOKUP(Table137[[#This Row],[Code]],'Main Storage'!A:D,3,0)</f>
        <v>55</v>
      </c>
      <c r="D210" s="1">
        <f>VLOOKUP(Table137[[#This Row],[Code]],'New York'!A:F,6,0)</f>
        <v>0</v>
      </c>
      <c r="E210" s="11"/>
      <c r="F210" s="1">
        <f>Table137[[#This Row],[Box]]-Table137[[#This Row],[Order]]</f>
        <v>0</v>
      </c>
    </row>
    <row r="211" spans="1:6" x14ac:dyDescent="0.25">
      <c r="A211" s="1" t="s">
        <v>427</v>
      </c>
      <c r="C211" s="1">
        <f>VLOOKUP(Table137[[#This Row],[Code]],'Main Storage'!A:D,3,0)</f>
        <v>155010</v>
      </c>
      <c r="D211" s="1">
        <f>VLOOKUP(Table137[[#This Row],[Code]],'New York'!A:F,6,0)</f>
        <v>10</v>
      </c>
      <c r="E211" s="11"/>
      <c r="F211" s="1">
        <f>Table137[[#This Row],[Box]]-Table137[[#This Row],[Order]]</f>
        <v>10</v>
      </c>
    </row>
  </sheetData>
  <dataValidations count="1">
    <dataValidation type="whole" allowBlank="1" showInputMessage="1" showErrorMessage="1" errorTitle="Enter Number" error="Just Number between 0 to BOX column" promptTitle="Enter Number" prompt="Just Number between 0 to BOX column" sqref="E2:E211" xr:uid="{D28F9A33-0B0F-492F-95BD-74CDBE7F56B7}">
      <formula1>0</formula1>
      <formula2>D2</formula2>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0206B-FD4A-4334-99DF-1EB6E89C6335}">
  <dimension ref="A1:F211"/>
  <sheetViews>
    <sheetView workbookViewId="0">
      <selection sqref="A1:XFD1048576"/>
    </sheetView>
  </sheetViews>
  <sheetFormatPr defaultRowHeight="15" x14ac:dyDescent="0.25"/>
  <cols>
    <col min="1" max="2" width="9.140625" style="1"/>
    <col min="3" max="3" width="18.28515625" style="1" customWidth="1"/>
    <col min="4" max="16384" width="9.140625" style="1"/>
  </cols>
  <sheetData>
    <row r="1" spans="1:6" x14ac:dyDescent="0.25">
      <c r="A1" s="1" t="s">
        <v>2</v>
      </c>
      <c r="B1" s="1" t="s">
        <v>1</v>
      </c>
      <c r="C1" s="1" t="s">
        <v>428</v>
      </c>
      <c r="D1" s="1" t="s">
        <v>429</v>
      </c>
      <c r="E1" s="1" t="s">
        <v>430</v>
      </c>
      <c r="F1" s="1" t="s">
        <v>431</v>
      </c>
    </row>
    <row r="2" spans="1:6" x14ac:dyDescent="0.25">
      <c r="A2" s="1" t="s">
        <v>3</v>
      </c>
      <c r="B2" s="1" t="s">
        <v>4</v>
      </c>
      <c r="C2" s="1">
        <f>VLOOKUP(Table139[[#This Row],[Code]],'Main Storage'!A:D,3,0)</f>
        <v>754</v>
      </c>
      <c r="D2" s="1">
        <f>VLOOKUP(Table139[[#This Row],[Code]],Montana!A:F,6,0)</f>
        <v>62</v>
      </c>
      <c r="E2" s="11"/>
      <c r="F2" s="1">
        <f>Table139[[#This Row],[Box]]-Table139[[#This Row],[Order]]</f>
        <v>62</v>
      </c>
    </row>
    <row r="3" spans="1:6" x14ac:dyDescent="0.25">
      <c r="A3" s="1" t="s">
        <v>6</v>
      </c>
      <c r="B3" s="1" t="s">
        <v>54</v>
      </c>
      <c r="C3" s="1">
        <f>VLOOKUP(Table139[[#This Row],[Code]],'Main Storage'!A:D,3,0)</f>
        <v>1440</v>
      </c>
      <c r="D3" s="1">
        <f>VLOOKUP(Table139[[#This Row],[Code]],Montana!A:F,6,0)</f>
        <v>90</v>
      </c>
      <c r="E3" s="11"/>
      <c r="F3" s="1">
        <f>Table139[[#This Row],[Box]]-Table139[[#This Row],[Order]]</f>
        <v>90</v>
      </c>
    </row>
    <row r="4" spans="1:6" x14ac:dyDescent="0.25">
      <c r="A4" s="1" t="s">
        <v>7</v>
      </c>
      <c r="B4" s="1" t="s">
        <v>55</v>
      </c>
      <c r="C4" s="1">
        <f>VLOOKUP(Table139[[#This Row],[Code]],'Main Storage'!A:D,3,0)</f>
        <v>1383</v>
      </c>
      <c r="D4" s="1">
        <f>VLOOKUP(Table139[[#This Row],[Code]],Montana!A:F,6,0)</f>
        <v>115</v>
      </c>
      <c r="E4" s="11"/>
      <c r="F4" s="1">
        <f>Table139[[#This Row],[Box]]-Table139[[#This Row],[Order]]</f>
        <v>115</v>
      </c>
    </row>
    <row r="5" spans="1:6" x14ac:dyDescent="0.25">
      <c r="A5" s="1" t="s">
        <v>8</v>
      </c>
      <c r="B5" s="1" t="s">
        <v>56</v>
      </c>
      <c r="C5" s="1">
        <f>VLOOKUP(Table139[[#This Row],[Code]],'Main Storage'!A:D,3,0)</f>
        <v>1376</v>
      </c>
      <c r="D5" s="1">
        <f>VLOOKUP(Table139[[#This Row],[Code]],Montana!A:F,6,0)</f>
        <v>114</v>
      </c>
      <c r="E5" s="11"/>
      <c r="F5" s="1">
        <f>Table139[[#This Row],[Box]]-Table139[[#This Row],[Order]]</f>
        <v>114</v>
      </c>
    </row>
    <row r="6" spans="1:6" x14ac:dyDescent="0.25">
      <c r="A6" s="1" t="s">
        <v>9</v>
      </c>
      <c r="B6" s="1" t="s">
        <v>57</v>
      </c>
      <c r="C6" s="1">
        <f>VLOOKUP(Table139[[#This Row],[Code]],'Main Storage'!A:D,3,0)</f>
        <v>826</v>
      </c>
      <c r="D6" s="1">
        <f>VLOOKUP(Table139[[#This Row],[Code]],Montana!A:F,6,0)</f>
        <v>68</v>
      </c>
      <c r="E6" s="11"/>
      <c r="F6" s="1">
        <f>Table139[[#This Row],[Box]]-Table139[[#This Row],[Order]]</f>
        <v>68</v>
      </c>
    </row>
    <row r="7" spans="1:6" x14ac:dyDescent="0.25">
      <c r="A7" s="1" t="s">
        <v>10</v>
      </c>
      <c r="B7" s="1" t="s">
        <v>58</v>
      </c>
      <c r="C7" s="1">
        <f>VLOOKUP(Table139[[#This Row],[Code]],'Main Storage'!A:D,3,0)</f>
        <v>939</v>
      </c>
      <c r="D7" s="1">
        <f>VLOOKUP(Table139[[#This Row],[Code]],Montana!A:F,6,0)</f>
        <v>78</v>
      </c>
      <c r="E7" s="11"/>
      <c r="F7" s="1">
        <f>Table139[[#This Row],[Box]]-Table139[[#This Row],[Order]]</f>
        <v>78</v>
      </c>
    </row>
    <row r="8" spans="1:6" x14ac:dyDescent="0.25">
      <c r="A8" s="1" t="s">
        <v>11</v>
      </c>
      <c r="B8" s="1" t="s">
        <v>59</v>
      </c>
      <c r="C8" s="1">
        <f>VLOOKUP(Table139[[#This Row],[Code]],'Main Storage'!A:D,3,0)</f>
        <v>908</v>
      </c>
      <c r="D8" s="1">
        <f>VLOOKUP(Table139[[#This Row],[Code]],Montana!A:F,6,0)</f>
        <v>75</v>
      </c>
      <c r="E8" s="11"/>
      <c r="F8" s="1">
        <f>Table139[[#This Row],[Box]]-Table139[[#This Row],[Order]]</f>
        <v>75</v>
      </c>
    </row>
    <row r="9" spans="1:6" x14ac:dyDescent="0.25">
      <c r="A9" s="1" t="s">
        <v>12</v>
      </c>
      <c r="B9" s="1" t="s">
        <v>60</v>
      </c>
      <c r="C9" s="1">
        <f>VLOOKUP(Table139[[#This Row],[Code]],'Main Storage'!A:D,3,0)</f>
        <v>675</v>
      </c>
      <c r="D9" s="1">
        <f>VLOOKUP(Table139[[#This Row],[Code]],Montana!A:F,6,0)</f>
        <v>56</v>
      </c>
      <c r="E9" s="11"/>
      <c r="F9" s="1">
        <f>Table139[[#This Row],[Box]]-Table139[[#This Row],[Order]]</f>
        <v>56</v>
      </c>
    </row>
    <row r="10" spans="1:6" x14ac:dyDescent="0.25">
      <c r="A10" s="1" t="s">
        <v>13</v>
      </c>
      <c r="B10" s="1" t="s">
        <v>61</v>
      </c>
      <c r="C10" s="1">
        <f>VLOOKUP(Table139[[#This Row],[Code]],'Main Storage'!A:D,3,0)</f>
        <v>590</v>
      </c>
      <c r="D10" s="1">
        <f>VLOOKUP(Table139[[#This Row],[Code]],Montana!A:F,6,0)</f>
        <v>49</v>
      </c>
      <c r="E10" s="11"/>
      <c r="F10" s="1">
        <f>Table139[[#This Row],[Box]]-Table139[[#This Row],[Order]]</f>
        <v>49</v>
      </c>
    </row>
    <row r="11" spans="1:6" x14ac:dyDescent="0.25">
      <c r="A11" s="1" t="s">
        <v>14</v>
      </c>
      <c r="B11" s="1" t="s">
        <v>62</v>
      </c>
      <c r="C11" s="1">
        <f>VLOOKUP(Table139[[#This Row],[Code]],'Main Storage'!A:D,3,0)</f>
        <v>973</v>
      </c>
      <c r="D11" s="1">
        <f>VLOOKUP(Table139[[#This Row],[Code]],Montana!A:F,6,0)</f>
        <v>81</v>
      </c>
      <c r="E11" s="11"/>
      <c r="F11" s="1">
        <f>Table139[[#This Row],[Box]]-Table139[[#This Row],[Order]]</f>
        <v>81</v>
      </c>
    </row>
    <row r="12" spans="1:6" x14ac:dyDescent="0.25">
      <c r="A12" s="1" t="s">
        <v>15</v>
      </c>
      <c r="B12" s="1" t="s">
        <v>63</v>
      </c>
      <c r="C12" s="1">
        <f>VLOOKUP(Table139[[#This Row],[Code]],'Main Storage'!A:D,3,0)</f>
        <v>608</v>
      </c>
      <c r="D12" s="1">
        <f>VLOOKUP(Table139[[#This Row],[Code]],Montana!A:F,6,0)</f>
        <v>50</v>
      </c>
      <c r="E12" s="11"/>
      <c r="F12" s="1">
        <f>Table139[[#This Row],[Box]]-Table139[[#This Row],[Order]]</f>
        <v>50</v>
      </c>
    </row>
    <row r="13" spans="1:6" x14ac:dyDescent="0.25">
      <c r="A13" s="1" t="s">
        <v>16</v>
      </c>
      <c r="B13" s="1" t="s">
        <v>64</v>
      </c>
      <c r="C13" s="1">
        <f>VLOOKUP(Table139[[#This Row],[Code]],'Main Storage'!A:D,3,0)</f>
        <v>1191</v>
      </c>
      <c r="D13" s="1">
        <f>VLOOKUP(Table139[[#This Row],[Code]],Montana!A:F,6,0)</f>
        <v>99</v>
      </c>
      <c r="E13" s="11"/>
      <c r="F13" s="1">
        <f>Table139[[#This Row],[Box]]-Table139[[#This Row],[Order]]</f>
        <v>99</v>
      </c>
    </row>
    <row r="14" spans="1:6" x14ac:dyDescent="0.25">
      <c r="A14" s="1" t="s">
        <v>17</v>
      </c>
      <c r="B14" s="1" t="s">
        <v>65</v>
      </c>
      <c r="C14" s="1">
        <f>VLOOKUP(Table139[[#This Row],[Code]],'Main Storage'!A:D,3,0)</f>
        <v>336</v>
      </c>
      <c r="D14" s="1">
        <f>VLOOKUP(Table139[[#This Row],[Code]],Montana!A:F,6,0)</f>
        <v>28</v>
      </c>
      <c r="E14" s="11"/>
      <c r="F14" s="1">
        <f>Table139[[#This Row],[Box]]-Table139[[#This Row],[Order]]</f>
        <v>28</v>
      </c>
    </row>
    <row r="15" spans="1:6" x14ac:dyDescent="0.25">
      <c r="A15" s="1" t="s">
        <v>18</v>
      </c>
      <c r="B15" s="1" t="s">
        <v>66</v>
      </c>
      <c r="C15" s="1">
        <f>VLOOKUP(Table139[[#This Row],[Code]],'Main Storage'!A:D,3,0)</f>
        <v>98</v>
      </c>
      <c r="D15" s="1">
        <f>VLOOKUP(Table139[[#This Row],[Code]],Montana!A:F,6,0)</f>
        <v>8</v>
      </c>
      <c r="E15" s="11"/>
      <c r="F15" s="1">
        <f>Table139[[#This Row],[Box]]-Table139[[#This Row],[Order]]</f>
        <v>8</v>
      </c>
    </row>
    <row r="16" spans="1:6" x14ac:dyDescent="0.25">
      <c r="A16" s="1" t="s">
        <v>19</v>
      </c>
      <c r="B16" s="1" t="s">
        <v>67</v>
      </c>
      <c r="C16" s="1">
        <f>VLOOKUP(Table139[[#This Row],[Code]],'Main Storage'!A:D,3,0)</f>
        <v>145</v>
      </c>
      <c r="D16" s="1">
        <f>VLOOKUP(Table139[[#This Row],[Code]],Montana!A:F,6,0)</f>
        <v>12</v>
      </c>
      <c r="E16" s="11"/>
      <c r="F16" s="1">
        <f>Table139[[#This Row],[Box]]-Table139[[#This Row],[Order]]</f>
        <v>12</v>
      </c>
    </row>
    <row r="17" spans="1:6" x14ac:dyDescent="0.25">
      <c r="A17" s="1" t="s">
        <v>20</v>
      </c>
      <c r="B17" s="1" t="s">
        <v>68</v>
      </c>
      <c r="C17" s="1">
        <f>VLOOKUP(Table139[[#This Row],[Code]],'Main Storage'!A:D,3,0)</f>
        <v>823</v>
      </c>
      <c r="D17" s="1">
        <f>VLOOKUP(Table139[[#This Row],[Code]],Montana!A:F,6,0)</f>
        <v>68</v>
      </c>
      <c r="E17" s="11"/>
      <c r="F17" s="1">
        <f>Table139[[#This Row],[Box]]-Table139[[#This Row],[Order]]</f>
        <v>68</v>
      </c>
    </row>
    <row r="18" spans="1:6" x14ac:dyDescent="0.25">
      <c r="A18" s="1" t="s">
        <v>21</v>
      </c>
      <c r="B18" s="1" t="s">
        <v>69</v>
      </c>
      <c r="C18" s="1">
        <f>VLOOKUP(Table139[[#This Row],[Code]],'Main Storage'!A:D,3,0)</f>
        <v>1238</v>
      </c>
      <c r="D18" s="1">
        <f>VLOOKUP(Table139[[#This Row],[Code]],Montana!A:F,6,0)</f>
        <v>103</v>
      </c>
      <c r="E18" s="11"/>
      <c r="F18" s="1">
        <f>Table139[[#This Row],[Box]]-Table139[[#This Row],[Order]]</f>
        <v>103</v>
      </c>
    </row>
    <row r="19" spans="1:6" x14ac:dyDescent="0.25">
      <c r="A19" s="1" t="s">
        <v>22</v>
      </c>
      <c r="B19" s="1" t="s">
        <v>70</v>
      </c>
      <c r="C19" s="1">
        <f>VLOOKUP(Table139[[#This Row],[Code]],'Main Storage'!A:D,3,0)</f>
        <v>624</v>
      </c>
      <c r="D19" s="1">
        <f>VLOOKUP(Table139[[#This Row],[Code]],Montana!A:F,6,0)</f>
        <v>52</v>
      </c>
      <c r="E19" s="11"/>
      <c r="F19" s="1">
        <f>Table139[[#This Row],[Box]]-Table139[[#This Row],[Order]]</f>
        <v>52</v>
      </c>
    </row>
    <row r="20" spans="1:6" x14ac:dyDescent="0.25">
      <c r="A20" s="1" t="s">
        <v>23</v>
      </c>
      <c r="B20" s="1" t="s">
        <v>71</v>
      </c>
      <c r="C20" s="1">
        <f>VLOOKUP(Table139[[#This Row],[Code]],'Main Storage'!A:D,3,0)</f>
        <v>788</v>
      </c>
      <c r="D20" s="1">
        <f>VLOOKUP(Table139[[#This Row],[Code]],Montana!A:F,6,0)</f>
        <v>65</v>
      </c>
      <c r="E20" s="11"/>
      <c r="F20" s="1">
        <f>Table139[[#This Row],[Box]]-Table139[[#This Row],[Order]]</f>
        <v>65</v>
      </c>
    </row>
    <row r="21" spans="1:6" x14ac:dyDescent="0.25">
      <c r="A21" s="1" t="s">
        <v>24</v>
      </c>
      <c r="B21" s="1" t="s">
        <v>72</v>
      </c>
      <c r="C21" s="1">
        <f>VLOOKUP(Table139[[#This Row],[Code]],'Main Storage'!A:D,3,0)</f>
        <v>368</v>
      </c>
      <c r="D21" s="1">
        <f>VLOOKUP(Table139[[#This Row],[Code]],Montana!A:F,6,0)</f>
        <v>30</v>
      </c>
      <c r="E21" s="11"/>
      <c r="F21" s="1">
        <f>Table139[[#This Row],[Box]]-Table139[[#This Row],[Order]]</f>
        <v>30</v>
      </c>
    </row>
    <row r="22" spans="1:6" x14ac:dyDescent="0.25">
      <c r="A22" s="1" t="s">
        <v>25</v>
      </c>
      <c r="B22" s="1" t="s">
        <v>73</v>
      </c>
      <c r="C22" s="1">
        <f>VLOOKUP(Table139[[#This Row],[Code]],'Main Storage'!A:D,3,0)</f>
        <v>281</v>
      </c>
      <c r="D22" s="1">
        <f>VLOOKUP(Table139[[#This Row],[Code]],Montana!A:F,6,0)</f>
        <v>23</v>
      </c>
      <c r="E22" s="11"/>
      <c r="F22" s="1">
        <f>Table139[[#This Row],[Box]]-Table139[[#This Row],[Order]]</f>
        <v>23</v>
      </c>
    </row>
    <row r="23" spans="1:6" x14ac:dyDescent="0.25">
      <c r="A23" s="1" t="s">
        <v>26</v>
      </c>
      <c r="B23" s="1" t="s">
        <v>74</v>
      </c>
      <c r="C23" s="1">
        <f>VLOOKUP(Table139[[#This Row],[Code]],'Main Storage'!A:D,3,0)</f>
        <v>1480</v>
      </c>
      <c r="D23" s="1">
        <f>VLOOKUP(Table139[[#This Row],[Code]],Montana!A:F,6,0)</f>
        <v>123</v>
      </c>
      <c r="E23" s="11"/>
      <c r="F23" s="1">
        <f>Table139[[#This Row],[Box]]-Table139[[#This Row],[Order]]</f>
        <v>123</v>
      </c>
    </row>
    <row r="24" spans="1:6" x14ac:dyDescent="0.25">
      <c r="A24" s="1" t="s">
        <v>27</v>
      </c>
      <c r="B24" s="1" t="s">
        <v>75</v>
      </c>
      <c r="C24" s="1">
        <f>VLOOKUP(Table139[[#This Row],[Code]],'Main Storage'!A:D,3,0)</f>
        <v>1088</v>
      </c>
      <c r="D24" s="1">
        <f>VLOOKUP(Table139[[#This Row],[Code]],Montana!A:F,6,0)</f>
        <v>90</v>
      </c>
      <c r="E24" s="11"/>
      <c r="F24" s="1">
        <f>Table139[[#This Row],[Box]]-Table139[[#This Row],[Order]]</f>
        <v>90</v>
      </c>
    </row>
    <row r="25" spans="1:6" x14ac:dyDescent="0.25">
      <c r="A25" s="1" t="s">
        <v>28</v>
      </c>
      <c r="B25" s="1" t="s">
        <v>76</v>
      </c>
      <c r="C25" s="1">
        <f>VLOOKUP(Table139[[#This Row],[Code]],'Main Storage'!A:D,3,0)</f>
        <v>8</v>
      </c>
      <c r="D25" s="1">
        <f>VLOOKUP(Table139[[#This Row],[Code]],Montana!A:F,6,0)</f>
        <v>0</v>
      </c>
      <c r="E25" s="11"/>
      <c r="F25" s="1">
        <f>Table139[[#This Row],[Box]]-Table139[[#This Row],[Order]]</f>
        <v>0</v>
      </c>
    </row>
    <row r="26" spans="1:6" x14ac:dyDescent="0.25">
      <c r="A26" s="1" t="s">
        <v>29</v>
      </c>
      <c r="B26" s="1" t="s">
        <v>77</v>
      </c>
      <c r="C26" s="1">
        <f>VLOOKUP(Table139[[#This Row],[Code]],'Main Storage'!A:D,3,0)</f>
        <v>82</v>
      </c>
      <c r="D26" s="1">
        <f>VLOOKUP(Table139[[#This Row],[Code]],Montana!A:F,6,0)</f>
        <v>6</v>
      </c>
      <c r="E26" s="11"/>
      <c r="F26" s="1">
        <f>Table139[[#This Row],[Box]]-Table139[[#This Row],[Order]]</f>
        <v>6</v>
      </c>
    </row>
    <row r="27" spans="1:6" x14ac:dyDescent="0.25">
      <c r="A27" s="1" t="s">
        <v>30</v>
      </c>
      <c r="B27" s="1" t="s">
        <v>78</v>
      </c>
      <c r="C27" s="1">
        <f>VLOOKUP(Table139[[#This Row],[Code]],'Main Storage'!A:D,3,0)</f>
        <v>518</v>
      </c>
      <c r="D27" s="1">
        <f>VLOOKUP(Table139[[#This Row],[Code]],Montana!A:F,6,0)</f>
        <v>43</v>
      </c>
      <c r="E27" s="11"/>
      <c r="F27" s="1">
        <f>Table139[[#This Row],[Box]]-Table139[[#This Row],[Order]]</f>
        <v>43</v>
      </c>
    </row>
    <row r="28" spans="1:6" x14ac:dyDescent="0.25">
      <c r="A28" s="1" t="s">
        <v>31</v>
      </c>
      <c r="B28" s="1" t="s">
        <v>79</v>
      </c>
      <c r="C28" s="1">
        <f>VLOOKUP(Table139[[#This Row],[Code]],'Main Storage'!A:D,3,0)</f>
        <v>459</v>
      </c>
      <c r="D28" s="1">
        <f>VLOOKUP(Table139[[#This Row],[Code]],Montana!A:F,6,0)</f>
        <v>38</v>
      </c>
      <c r="E28" s="11"/>
      <c r="F28" s="1">
        <f>Table139[[#This Row],[Box]]-Table139[[#This Row],[Order]]</f>
        <v>38</v>
      </c>
    </row>
    <row r="29" spans="1:6" x14ac:dyDescent="0.25">
      <c r="A29" s="1" t="s">
        <v>32</v>
      </c>
      <c r="B29" s="1" t="s">
        <v>80</v>
      </c>
      <c r="C29" s="1">
        <f>VLOOKUP(Table139[[#This Row],[Code]],'Main Storage'!A:D,3,0)</f>
        <v>305</v>
      </c>
      <c r="D29" s="1">
        <f>VLOOKUP(Table139[[#This Row],[Code]],Montana!A:F,6,0)</f>
        <v>25</v>
      </c>
      <c r="E29" s="11"/>
      <c r="F29" s="1">
        <f>Table139[[#This Row],[Box]]-Table139[[#This Row],[Order]]</f>
        <v>25</v>
      </c>
    </row>
    <row r="30" spans="1:6" x14ac:dyDescent="0.25">
      <c r="A30" s="1" t="s">
        <v>33</v>
      </c>
      <c r="B30" s="1" t="s">
        <v>81</v>
      </c>
      <c r="C30" s="1">
        <f>VLOOKUP(Table139[[#This Row],[Code]],'Main Storage'!A:D,3,0)</f>
        <v>348</v>
      </c>
      <c r="D30" s="1">
        <f>VLOOKUP(Table139[[#This Row],[Code]],Montana!A:F,6,0)</f>
        <v>29</v>
      </c>
      <c r="E30" s="11"/>
      <c r="F30" s="1">
        <f>Table139[[#This Row],[Box]]-Table139[[#This Row],[Order]]</f>
        <v>29</v>
      </c>
    </row>
    <row r="31" spans="1:6" x14ac:dyDescent="0.25">
      <c r="A31" s="1" t="s">
        <v>34</v>
      </c>
      <c r="B31" s="1" t="s">
        <v>82</v>
      </c>
      <c r="C31" s="1">
        <f>VLOOKUP(Table139[[#This Row],[Code]],'Main Storage'!A:D,3,0)</f>
        <v>222</v>
      </c>
      <c r="D31" s="1">
        <f>VLOOKUP(Table139[[#This Row],[Code]],Montana!A:F,6,0)</f>
        <v>18</v>
      </c>
      <c r="E31" s="11"/>
      <c r="F31" s="1">
        <f>Table139[[#This Row],[Box]]-Table139[[#This Row],[Order]]</f>
        <v>18</v>
      </c>
    </row>
    <row r="32" spans="1:6" x14ac:dyDescent="0.25">
      <c r="A32" s="1" t="s">
        <v>35</v>
      </c>
      <c r="B32" s="1" t="s">
        <v>83</v>
      </c>
      <c r="C32" s="1">
        <f>VLOOKUP(Table139[[#This Row],[Code]],'Main Storage'!A:D,3,0)</f>
        <v>729</v>
      </c>
      <c r="D32" s="1">
        <f>VLOOKUP(Table139[[#This Row],[Code]],Montana!A:F,6,0)</f>
        <v>60</v>
      </c>
      <c r="E32" s="11"/>
      <c r="F32" s="1">
        <f>Table139[[#This Row],[Box]]-Table139[[#This Row],[Order]]</f>
        <v>60</v>
      </c>
    </row>
    <row r="33" spans="1:6" x14ac:dyDescent="0.25">
      <c r="A33" s="1" t="s">
        <v>36</v>
      </c>
      <c r="B33" s="1" t="s">
        <v>84</v>
      </c>
      <c r="C33" s="1">
        <f>VLOOKUP(Table139[[#This Row],[Code]],'Main Storage'!A:D,3,0)</f>
        <v>874</v>
      </c>
      <c r="D33" s="1">
        <f>VLOOKUP(Table139[[#This Row],[Code]],Montana!A:F,6,0)</f>
        <v>72</v>
      </c>
      <c r="E33" s="11"/>
      <c r="F33" s="1">
        <f>Table139[[#This Row],[Box]]-Table139[[#This Row],[Order]]</f>
        <v>72</v>
      </c>
    </row>
    <row r="34" spans="1:6" x14ac:dyDescent="0.25">
      <c r="A34" s="1" t="s">
        <v>37</v>
      </c>
      <c r="B34" s="1" t="s">
        <v>85</v>
      </c>
      <c r="C34" s="1">
        <f>VLOOKUP(Table139[[#This Row],[Code]],'Main Storage'!A:D,3,0)</f>
        <v>377</v>
      </c>
      <c r="D34" s="1">
        <f>VLOOKUP(Table139[[#This Row],[Code]],Montana!A:F,6,0)</f>
        <v>31</v>
      </c>
      <c r="E34" s="11"/>
      <c r="F34" s="1">
        <f>Table139[[#This Row],[Box]]-Table139[[#This Row],[Order]]</f>
        <v>31</v>
      </c>
    </row>
    <row r="35" spans="1:6" x14ac:dyDescent="0.25">
      <c r="A35" s="1" t="s">
        <v>38</v>
      </c>
      <c r="B35" s="1" t="s">
        <v>86</v>
      </c>
      <c r="C35" s="1">
        <f>VLOOKUP(Table139[[#This Row],[Code]],'Main Storage'!A:D,3,0)</f>
        <v>1189</v>
      </c>
      <c r="D35" s="1">
        <f>VLOOKUP(Table139[[#This Row],[Code]],Montana!A:F,6,0)</f>
        <v>99</v>
      </c>
      <c r="E35" s="11"/>
      <c r="F35" s="1">
        <f>Table139[[#This Row],[Box]]-Table139[[#This Row],[Order]]</f>
        <v>99</v>
      </c>
    </row>
    <row r="36" spans="1:6" x14ac:dyDescent="0.25">
      <c r="A36" s="1" t="s">
        <v>39</v>
      </c>
      <c r="B36" s="1" t="s">
        <v>87</v>
      </c>
      <c r="C36" s="1">
        <f>VLOOKUP(Table139[[#This Row],[Code]],'Main Storage'!A:D,3,0)</f>
        <v>1006</v>
      </c>
      <c r="D36" s="1">
        <f>VLOOKUP(Table139[[#This Row],[Code]],Montana!A:F,6,0)</f>
        <v>83</v>
      </c>
      <c r="E36" s="11"/>
      <c r="F36" s="1">
        <f>Table139[[#This Row],[Box]]-Table139[[#This Row],[Order]]</f>
        <v>83</v>
      </c>
    </row>
    <row r="37" spans="1:6" x14ac:dyDescent="0.25">
      <c r="A37" s="1" t="s">
        <v>40</v>
      </c>
      <c r="B37" s="1" t="s">
        <v>88</v>
      </c>
      <c r="C37" s="1">
        <f>VLOOKUP(Table139[[#This Row],[Code]],'Main Storage'!A:D,3,0)</f>
        <v>59</v>
      </c>
      <c r="D37" s="1">
        <f>VLOOKUP(Table139[[#This Row],[Code]],Montana!A:F,6,0)</f>
        <v>4</v>
      </c>
      <c r="E37" s="11"/>
      <c r="F37" s="1">
        <f>Table139[[#This Row],[Box]]-Table139[[#This Row],[Order]]</f>
        <v>4</v>
      </c>
    </row>
    <row r="38" spans="1:6" x14ac:dyDescent="0.25">
      <c r="A38" s="1" t="s">
        <v>41</v>
      </c>
      <c r="B38" s="1" t="s">
        <v>89</v>
      </c>
      <c r="C38" s="1">
        <f>VLOOKUP(Table139[[#This Row],[Code]],'Main Storage'!A:D,3,0)</f>
        <v>1087</v>
      </c>
      <c r="D38" s="1">
        <f>VLOOKUP(Table139[[#This Row],[Code]],Montana!A:F,6,0)</f>
        <v>90</v>
      </c>
      <c r="E38" s="11"/>
      <c r="F38" s="1">
        <f>Table139[[#This Row],[Box]]-Table139[[#This Row],[Order]]</f>
        <v>90</v>
      </c>
    </row>
    <row r="39" spans="1:6" x14ac:dyDescent="0.25">
      <c r="A39" s="1" t="s">
        <v>42</v>
      </c>
      <c r="B39" s="1" t="s">
        <v>90</v>
      </c>
      <c r="C39" s="1">
        <f>VLOOKUP(Table139[[#This Row],[Code]],'Main Storage'!A:D,3,0)</f>
        <v>281</v>
      </c>
      <c r="D39" s="1">
        <f>VLOOKUP(Table139[[#This Row],[Code]],Montana!A:F,6,0)</f>
        <v>23</v>
      </c>
      <c r="E39" s="11"/>
      <c r="F39" s="1">
        <f>Table139[[#This Row],[Box]]-Table139[[#This Row],[Order]]</f>
        <v>23</v>
      </c>
    </row>
    <row r="40" spans="1:6" x14ac:dyDescent="0.25">
      <c r="A40" s="1" t="s">
        <v>43</v>
      </c>
      <c r="B40" s="1" t="s">
        <v>91</v>
      </c>
      <c r="C40" s="1">
        <f>VLOOKUP(Table139[[#This Row],[Code]],'Main Storage'!A:D,3,0)</f>
        <v>1125</v>
      </c>
      <c r="D40" s="1">
        <f>VLOOKUP(Table139[[#This Row],[Code]],Montana!A:F,6,0)</f>
        <v>93</v>
      </c>
      <c r="E40" s="11"/>
      <c r="F40" s="1">
        <f>Table139[[#This Row],[Box]]-Table139[[#This Row],[Order]]</f>
        <v>93</v>
      </c>
    </row>
    <row r="41" spans="1:6" x14ac:dyDescent="0.25">
      <c r="A41" s="1" t="s">
        <v>44</v>
      </c>
      <c r="B41" s="1" t="s">
        <v>92</v>
      </c>
      <c r="C41" s="1">
        <f>VLOOKUP(Table139[[#This Row],[Code]],'Main Storage'!A:D,3,0)</f>
        <v>281</v>
      </c>
      <c r="D41" s="1">
        <f>VLOOKUP(Table139[[#This Row],[Code]],Montana!A:F,6,0)</f>
        <v>23</v>
      </c>
      <c r="E41" s="11"/>
      <c r="F41" s="1">
        <f>Table139[[#This Row],[Box]]-Table139[[#This Row],[Order]]</f>
        <v>23</v>
      </c>
    </row>
    <row r="42" spans="1:6" x14ac:dyDescent="0.25">
      <c r="A42" s="1" t="s">
        <v>45</v>
      </c>
      <c r="B42" s="1" t="s">
        <v>93</v>
      </c>
      <c r="C42" s="1">
        <f>VLOOKUP(Table139[[#This Row],[Code]],'Main Storage'!A:D,3,0)</f>
        <v>354</v>
      </c>
      <c r="D42" s="1">
        <f>VLOOKUP(Table139[[#This Row],[Code]],Montana!A:F,6,0)</f>
        <v>29</v>
      </c>
      <c r="E42" s="11"/>
      <c r="F42" s="1">
        <f>Table139[[#This Row],[Box]]-Table139[[#This Row],[Order]]</f>
        <v>29</v>
      </c>
    </row>
    <row r="43" spans="1:6" x14ac:dyDescent="0.25">
      <c r="A43" s="1" t="s">
        <v>46</v>
      </c>
      <c r="B43" s="1" t="s">
        <v>94</v>
      </c>
      <c r="C43" s="1">
        <f>VLOOKUP(Table139[[#This Row],[Code]],'Main Storage'!A:D,3,0)</f>
        <v>649</v>
      </c>
      <c r="D43" s="1">
        <f>VLOOKUP(Table139[[#This Row],[Code]],Montana!A:F,6,0)</f>
        <v>54</v>
      </c>
      <c r="E43" s="11"/>
      <c r="F43" s="1">
        <f>Table139[[#This Row],[Box]]-Table139[[#This Row],[Order]]</f>
        <v>54</v>
      </c>
    </row>
    <row r="44" spans="1:6" x14ac:dyDescent="0.25">
      <c r="A44" s="1" t="s">
        <v>47</v>
      </c>
      <c r="B44" s="1" t="s">
        <v>95</v>
      </c>
      <c r="C44" s="1">
        <f>VLOOKUP(Table139[[#This Row],[Code]],'Main Storage'!A:D,3,0)</f>
        <v>1322</v>
      </c>
      <c r="D44" s="1">
        <f>VLOOKUP(Table139[[#This Row],[Code]],Montana!A:F,6,0)</f>
        <v>110</v>
      </c>
      <c r="E44" s="11"/>
      <c r="F44" s="1">
        <f>Table139[[#This Row],[Box]]-Table139[[#This Row],[Order]]</f>
        <v>110</v>
      </c>
    </row>
    <row r="45" spans="1:6" x14ac:dyDescent="0.25">
      <c r="A45" s="1" t="s">
        <v>48</v>
      </c>
      <c r="B45" s="1" t="s">
        <v>96</v>
      </c>
      <c r="C45" s="1">
        <f>VLOOKUP(Table139[[#This Row],[Code]],'Main Storage'!A:D,3,0)</f>
        <v>1038</v>
      </c>
      <c r="D45" s="1">
        <f>VLOOKUP(Table139[[#This Row],[Code]],Montana!A:F,6,0)</f>
        <v>86</v>
      </c>
      <c r="E45" s="11"/>
      <c r="F45" s="1">
        <f>Table139[[#This Row],[Box]]-Table139[[#This Row],[Order]]</f>
        <v>86</v>
      </c>
    </row>
    <row r="46" spans="1:6" x14ac:dyDescent="0.25">
      <c r="A46" s="1" t="s">
        <v>49</v>
      </c>
      <c r="B46" s="1" t="s">
        <v>97</v>
      </c>
      <c r="C46" s="1">
        <f>VLOOKUP(Table139[[#This Row],[Code]],'Main Storage'!A:D,3,0)</f>
        <v>340</v>
      </c>
      <c r="D46" s="1">
        <f>VLOOKUP(Table139[[#This Row],[Code]],Montana!A:F,6,0)</f>
        <v>28</v>
      </c>
      <c r="E46" s="11"/>
      <c r="F46" s="1">
        <f>Table139[[#This Row],[Box]]-Table139[[#This Row],[Order]]</f>
        <v>28</v>
      </c>
    </row>
    <row r="47" spans="1:6" x14ac:dyDescent="0.25">
      <c r="A47" s="1" t="s">
        <v>50</v>
      </c>
      <c r="B47" s="1" t="s">
        <v>98</v>
      </c>
      <c r="C47" s="1">
        <f>VLOOKUP(Table139[[#This Row],[Code]],'Main Storage'!A:D,3,0)</f>
        <v>399</v>
      </c>
      <c r="D47" s="1">
        <f>VLOOKUP(Table139[[#This Row],[Code]],Montana!A:F,6,0)</f>
        <v>33</v>
      </c>
      <c r="E47" s="11"/>
      <c r="F47" s="1">
        <f>Table139[[#This Row],[Box]]-Table139[[#This Row],[Order]]</f>
        <v>33</v>
      </c>
    </row>
    <row r="48" spans="1:6" x14ac:dyDescent="0.25">
      <c r="A48" s="1" t="s">
        <v>51</v>
      </c>
      <c r="B48" s="1" t="s">
        <v>99</v>
      </c>
      <c r="C48" s="1">
        <f>VLOOKUP(Table139[[#This Row],[Code]],'Main Storage'!A:D,3,0)</f>
        <v>468</v>
      </c>
      <c r="D48" s="1">
        <f>VLOOKUP(Table139[[#This Row],[Code]],Montana!A:F,6,0)</f>
        <v>39</v>
      </c>
      <c r="E48" s="11"/>
      <c r="F48" s="1">
        <f>Table139[[#This Row],[Box]]-Table139[[#This Row],[Order]]</f>
        <v>39</v>
      </c>
    </row>
    <row r="49" spans="1:6" x14ac:dyDescent="0.25">
      <c r="A49" s="1" t="s">
        <v>52</v>
      </c>
      <c r="B49" s="1" t="s">
        <v>100</v>
      </c>
      <c r="C49" s="1">
        <f>VLOOKUP(Table139[[#This Row],[Code]],'Main Storage'!A:D,3,0)</f>
        <v>829</v>
      </c>
      <c r="D49" s="1">
        <f>VLOOKUP(Table139[[#This Row],[Code]],Montana!A:F,6,0)</f>
        <v>69</v>
      </c>
      <c r="E49" s="11"/>
      <c r="F49" s="1">
        <f>Table139[[#This Row],[Box]]-Table139[[#This Row],[Order]]</f>
        <v>69</v>
      </c>
    </row>
    <row r="50" spans="1:6" x14ac:dyDescent="0.25">
      <c r="A50" s="1" t="s">
        <v>53</v>
      </c>
      <c r="B50" s="1" t="s">
        <v>101</v>
      </c>
      <c r="C50" s="1">
        <f>VLOOKUP(Table139[[#This Row],[Code]],'Main Storage'!A:D,3,0)</f>
        <v>1420</v>
      </c>
      <c r="D50" s="1">
        <f>VLOOKUP(Table139[[#This Row],[Code]],Montana!A:F,6,0)</f>
        <v>118</v>
      </c>
      <c r="E50" s="11"/>
      <c r="F50" s="1">
        <f>Table139[[#This Row],[Box]]-Table139[[#This Row],[Order]]</f>
        <v>118</v>
      </c>
    </row>
    <row r="51" spans="1:6" x14ac:dyDescent="0.25">
      <c r="A51" s="1" t="s">
        <v>102</v>
      </c>
      <c r="B51" s="1" t="s">
        <v>152</v>
      </c>
      <c r="C51" s="1">
        <f>VLOOKUP(Table139[[#This Row],[Code]],'Main Storage'!A:D,3,0)</f>
        <v>765</v>
      </c>
      <c r="D51" s="1">
        <f>VLOOKUP(Table139[[#This Row],[Code]],Montana!A:F,6,0)</f>
        <v>15</v>
      </c>
      <c r="E51" s="11"/>
      <c r="F51" s="1">
        <f>Table139[[#This Row],[Box]]-Table139[[#This Row],[Order]]</f>
        <v>15</v>
      </c>
    </row>
    <row r="52" spans="1:6" x14ac:dyDescent="0.25">
      <c r="A52" s="1" t="s">
        <v>103</v>
      </c>
      <c r="B52" s="1" t="s">
        <v>153</v>
      </c>
      <c r="C52" s="1">
        <f>VLOOKUP(Table139[[#This Row],[Code]],'Main Storage'!A:D,3,0)</f>
        <v>916</v>
      </c>
      <c r="D52" s="1">
        <f>VLOOKUP(Table139[[#This Row],[Code]],Montana!A:F,6,0)</f>
        <v>19</v>
      </c>
      <c r="E52" s="11"/>
      <c r="F52" s="1">
        <f>Table139[[#This Row],[Box]]-Table139[[#This Row],[Order]]</f>
        <v>19</v>
      </c>
    </row>
    <row r="53" spans="1:6" x14ac:dyDescent="0.25">
      <c r="A53" s="1" t="s">
        <v>104</v>
      </c>
      <c r="B53" s="1" t="s">
        <v>154</v>
      </c>
      <c r="C53" s="1">
        <f>VLOOKUP(Table139[[#This Row],[Code]],'Main Storage'!A:D,3,0)</f>
        <v>1012</v>
      </c>
      <c r="D53" s="1">
        <f>VLOOKUP(Table139[[#This Row],[Code]],Montana!A:F,6,0)</f>
        <v>21</v>
      </c>
      <c r="E53" s="11"/>
      <c r="F53" s="1">
        <f>Table139[[#This Row],[Box]]-Table139[[#This Row],[Order]]</f>
        <v>21</v>
      </c>
    </row>
    <row r="54" spans="1:6" x14ac:dyDescent="0.25">
      <c r="A54" s="1" t="s">
        <v>105</v>
      </c>
      <c r="B54" s="1" t="s">
        <v>155</v>
      </c>
      <c r="C54" s="1">
        <f>VLOOKUP(Table139[[#This Row],[Code]],'Main Storage'!A:D,3,0)</f>
        <v>299</v>
      </c>
      <c r="D54" s="1">
        <f>VLOOKUP(Table139[[#This Row],[Code]],Montana!A:F,6,0)</f>
        <v>6</v>
      </c>
      <c r="E54" s="11"/>
      <c r="F54" s="1">
        <f>Table139[[#This Row],[Box]]-Table139[[#This Row],[Order]]</f>
        <v>6</v>
      </c>
    </row>
    <row r="55" spans="1:6" x14ac:dyDescent="0.25">
      <c r="A55" s="1" t="s">
        <v>106</v>
      </c>
      <c r="B55" s="1" t="s">
        <v>156</v>
      </c>
      <c r="C55" s="1">
        <f>VLOOKUP(Table139[[#This Row],[Code]],'Main Storage'!A:D,3,0)</f>
        <v>1361</v>
      </c>
      <c r="D55" s="1">
        <f>VLOOKUP(Table139[[#This Row],[Code]],Montana!A:F,6,0)</f>
        <v>28</v>
      </c>
      <c r="E55" s="11"/>
      <c r="F55" s="1">
        <f>Table139[[#This Row],[Box]]-Table139[[#This Row],[Order]]</f>
        <v>28</v>
      </c>
    </row>
    <row r="56" spans="1:6" x14ac:dyDescent="0.25">
      <c r="A56" s="1" t="s">
        <v>107</v>
      </c>
      <c r="B56" s="1" t="s">
        <v>157</v>
      </c>
      <c r="C56" s="1">
        <f>VLOOKUP(Table139[[#This Row],[Code]],'Main Storage'!A:D,3,0)</f>
        <v>621</v>
      </c>
      <c r="D56" s="1">
        <f>VLOOKUP(Table139[[#This Row],[Code]],Montana!A:F,6,0)</f>
        <v>12</v>
      </c>
      <c r="E56" s="11"/>
      <c r="F56" s="1">
        <f>Table139[[#This Row],[Box]]-Table139[[#This Row],[Order]]</f>
        <v>12</v>
      </c>
    </row>
    <row r="57" spans="1:6" x14ac:dyDescent="0.25">
      <c r="A57" s="1" t="s">
        <v>108</v>
      </c>
      <c r="B57" s="1" t="s">
        <v>158</v>
      </c>
      <c r="C57" s="1">
        <f>VLOOKUP(Table139[[#This Row],[Code]],'Main Storage'!A:D,3,0)</f>
        <v>775</v>
      </c>
      <c r="D57" s="1">
        <f>VLOOKUP(Table139[[#This Row],[Code]],Montana!A:F,6,0)</f>
        <v>16</v>
      </c>
      <c r="E57" s="11"/>
      <c r="F57" s="1">
        <f>Table139[[#This Row],[Box]]-Table139[[#This Row],[Order]]</f>
        <v>16</v>
      </c>
    </row>
    <row r="58" spans="1:6" x14ac:dyDescent="0.25">
      <c r="A58" s="1" t="s">
        <v>109</v>
      </c>
      <c r="B58" s="1" t="s">
        <v>159</v>
      </c>
      <c r="C58" s="1">
        <f>VLOOKUP(Table139[[#This Row],[Code]],'Main Storage'!A:D,3,0)</f>
        <v>316</v>
      </c>
      <c r="D58" s="1">
        <f>VLOOKUP(Table139[[#This Row],[Code]],Montana!A:F,6,0)</f>
        <v>6</v>
      </c>
      <c r="E58" s="11"/>
      <c r="F58" s="1">
        <f>Table139[[#This Row],[Box]]-Table139[[#This Row],[Order]]</f>
        <v>6</v>
      </c>
    </row>
    <row r="59" spans="1:6" x14ac:dyDescent="0.25">
      <c r="A59" s="1" t="s">
        <v>110</v>
      </c>
      <c r="B59" s="1" t="s">
        <v>160</v>
      </c>
      <c r="C59" s="1">
        <f>VLOOKUP(Table139[[#This Row],[Code]],'Main Storage'!A:D,3,0)</f>
        <v>553</v>
      </c>
      <c r="D59" s="1">
        <f>VLOOKUP(Table139[[#This Row],[Code]],Montana!A:F,6,0)</f>
        <v>11</v>
      </c>
      <c r="E59" s="11"/>
      <c r="F59" s="1">
        <f>Table139[[#This Row],[Box]]-Table139[[#This Row],[Order]]</f>
        <v>11</v>
      </c>
    </row>
    <row r="60" spans="1:6" x14ac:dyDescent="0.25">
      <c r="A60" s="1" t="s">
        <v>111</v>
      </c>
      <c r="B60" s="1" t="s">
        <v>161</v>
      </c>
      <c r="C60" s="1">
        <f>VLOOKUP(Table139[[#This Row],[Code]],'Main Storage'!A:D,3,0)</f>
        <v>130</v>
      </c>
      <c r="D60" s="1">
        <f>VLOOKUP(Table139[[#This Row],[Code]],Montana!A:F,6,0)</f>
        <v>2</v>
      </c>
      <c r="E60" s="11"/>
      <c r="F60" s="1">
        <f>Table139[[#This Row],[Box]]-Table139[[#This Row],[Order]]</f>
        <v>2</v>
      </c>
    </row>
    <row r="61" spans="1:6" x14ac:dyDescent="0.25">
      <c r="A61" s="1" t="s">
        <v>112</v>
      </c>
      <c r="B61" s="1" t="s">
        <v>162</v>
      </c>
      <c r="C61" s="1">
        <f>VLOOKUP(Table139[[#This Row],[Code]],'Main Storage'!A:D,3,0)</f>
        <v>890</v>
      </c>
      <c r="D61" s="1">
        <f>VLOOKUP(Table139[[#This Row],[Code]],Montana!A:F,6,0)</f>
        <v>18</v>
      </c>
      <c r="E61" s="11"/>
      <c r="F61" s="1">
        <f>Table139[[#This Row],[Box]]-Table139[[#This Row],[Order]]</f>
        <v>18</v>
      </c>
    </row>
    <row r="62" spans="1:6" x14ac:dyDescent="0.25">
      <c r="A62" s="1" t="s">
        <v>113</v>
      </c>
      <c r="B62" s="1" t="s">
        <v>163</v>
      </c>
      <c r="C62" s="1">
        <f>VLOOKUP(Table139[[#This Row],[Code]],'Main Storage'!A:D,3,0)</f>
        <v>255</v>
      </c>
      <c r="D62" s="1">
        <f>VLOOKUP(Table139[[#This Row],[Code]],Montana!A:F,6,0)</f>
        <v>5</v>
      </c>
      <c r="E62" s="11"/>
      <c r="F62" s="1">
        <f>Table139[[#This Row],[Box]]-Table139[[#This Row],[Order]]</f>
        <v>5</v>
      </c>
    </row>
    <row r="63" spans="1:6" x14ac:dyDescent="0.25">
      <c r="A63" s="1" t="s">
        <v>114</v>
      </c>
      <c r="B63" s="1" t="s">
        <v>164</v>
      </c>
      <c r="C63" s="1">
        <f>VLOOKUP(Table139[[#This Row],[Code]],'Main Storage'!A:D,3,0)</f>
        <v>1368</v>
      </c>
      <c r="D63" s="1">
        <f>VLOOKUP(Table139[[#This Row],[Code]],Montana!A:F,6,0)</f>
        <v>28</v>
      </c>
      <c r="E63" s="11"/>
      <c r="F63" s="1">
        <f>Table139[[#This Row],[Box]]-Table139[[#This Row],[Order]]</f>
        <v>28</v>
      </c>
    </row>
    <row r="64" spans="1:6" x14ac:dyDescent="0.25">
      <c r="A64" s="1" t="s">
        <v>115</v>
      </c>
      <c r="B64" s="1" t="s">
        <v>165</v>
      </c>
      <c r="C64" s="1">
        <f>VLOOKUP(Table139[[#This Row],[Code]],'Main Storage'!A:D,3,0)</f>
        <v>324</v>
      </c>
      <c r="D64" s="1">
        <f>VLOOKUP(Table139[[#This Row],[Code]],Montana!A:F,6,0)</f>
        <v>6</v>
      </c>
      <c r="E64" s="11"/>
      <c r="F64" s="1">
        <f>Table139[[#This Row],[Box]]-Table139[[#This Row],[Order]]</f>
        <v>6</v>
      </c>
    </row>
    <row r="65" spans="1:6" x14ac:dyDescent="0.25">
      <c r="A65" s="1" t="s">
        <v>116</v>
      </c>
      <c r="B65" s="1" t="s">
        <v>166</v>
      </c>
      <c r="C65" s="1">
        <f>VLOOKUP(Table139[[#This Row],[Code]],'Main Storage'!A:D,3,0)</f>
        <v>997</v>
      </c>
      <c r="D65" s="1">
        <f>VLOOKUP(Table139[[#This Row],[Code]],Montana!A:F,6,0)</f>
        <v>20</v>
      </c>
      <c r="E65" s="11"/>
      <c r="F65" s="1">
        <f>Table139[[#This Row],[Box]]-Table139[[#This Row],[Order]]</f>
        <v>20</v>
      </c>
    </row>
    <row r="66" spans="1:6" x14ac:dyDescent="0.25">
      <c r="A66" s="1" t="s">
        <v>117</v>
      </c>
      <c r="B66" s="1" t="s">
        <v>167</v>
      </c>
      <c r="C66" s="1">
        <f>VLOOKUP(Table139[[#This Row],[Code]],'Main Storage'!A:D,3,0)</f>
        <v>87</v>
      </c>
      <c r="D66" s="1">
        <f>VLOOKUP(Table139[[#This Row],[Code]],Montana!A:F,6,0)</f>
        <v>1</v>
      </c>
      <c r="E66" s="11"/>
      <c r="F66" s="1">
        <f>Table139[[#This Row],[Box]]-Table139[[#This Row],[Order]]</f>
        <v>1</v>
      </c>
    </row>
    <row r="67" spans="1:6" x14ac:dyDescent="0.25">
      <c r="A67" s="1" t="s">
        <v>118</v>
      </c>
      <c r="B67" s="1" t="s">
        <v>168</v>
      </c>
      <c r="C67" s="1">
        <f>VLOOKUP(Table139[[#This Row],[Code]],'Main Storage'!A:D,3,0)</f>
        <v>1436</v>
      </c>
      <c r="D67" s="1">
        <f>VLOOKUP(Table139[[#This Row],[Code]],Montana!A:F,6,0)</f>
        <v>29</v>
      </c>
      <c r="E67" s="11"/>
      <c r="F67" s="1">
        <f>Table139[[#This Row],[Box]]-Table139[[#This Row],[Order]]</f>
        <v>29</v>
      </c>
    </row>
    <row r="68" spans="1:6" x14ac:dyDescent="0.25">
      <c r="A68" s="1" t="s">
        <v>119</v>
      </c>
      <c r="B68" s="1" t="s">
        <v>169</v>
      </c>
      <c r="C68" s="1">
        <f>VLOOKUP(Table139[[#This Row],[Code]],'Main Storage'!A:D,3,0)</f>
        <v>1007</v>
      </c>
      <c r="D68" s="1">
        <f>VLOOKUP(Table139[[#This Row],[Code]],Montana!A:F,6,0)</f>
        <v>20</v>
      </c>
      <c r="E68" s="11"/>
      <c r="F68" s="1">
        <f>Table139[[#This Row],[Box]]-Table139[[#This Row],[Order]]</f>
        <v>20</v>
      </c>
    </row>
    <row r="69" spans="1:6" x14ac:dyDescent="0.25">
      <c r="A69" s="1" t="s">
        <v>120</v>
      </c>
      <c r="B69" s="1" t="s">
        <v>170</v>
      </c>
      <c r="C69" s="1">
        <f>VLOOKUP(Table139[[#This Row],[Code]],'Main Storage'!A:D,3,0)</f>
        <v>904</v>
      </c>
      <c r="D69" s="1">
        <f>VLOOKUP(Table139[[#This Row],[Code]],Montana!A:F,6,0)</f>
        <v>18</v>
      </c>
      <c r="E69" s="11"/>
      <c r="F69" s="1">
        <f>Table139[[#This Row],[Box]]-Table139[[#This Row],[Order]]</f>
        <v>18</v>
      </c>
    </row>
    <row r="70" spans="1:6" x14ac:dyDescent="0.25">
      <c r="A70" s="1" t="s">
        <v>121</v>
      </c>
      <c r="B70" s="1" t="s">
        <v>171</v>
      </c>
      <c r="C70" s="1">
        <f>VLOOKUP(Table139[[#This Row],[Code]],'Main Storage'!A:D,3,0)</f>
        <v>432</v>
      </c>
      <c r="D70" s="1">
        <f>VLOOKUP(Table139[[#This Row],[Code]],Montana!A:F,6,0)</f>
        <v>9</v>
      </c>
      <c r="E70" s="11"/>
      <c r="F70" s="1">
        <f>Table139[[#This Row],[Box]]-Table139[[#This Row],[Order]]</f>
        <v>9</v>
      </c>
    </row>
    <row r="71" spans="1:6" x14ac:dyDescent="0.25">
      <c r="A71" s="1" t="s">
        <v>122</v>
      </c>
      <c r="B71" s="1" t="s">
        <v>172</v>
      </c>
      <c r="C71" s="1">
        <f>VLOOKUP(Table139[[#This Row],[Code]],'Main Storage'!A:D,3,0)</f>
        <v>515</v>
      </c>
      <c r="D71" s="1">
        <f>VLOOKUP(Table139[[#This Row],[Code]],Montana!A:F,6,0)</f>
        <v>10</v>
      </c>
      <c r="E71" s="11"/>
      <c r="F71" s="1">
        <f>Table139[[#This Row],[Box]]-Table139[[#This Row],[Order]]</f>
        <v>10</v>
      </c>
    </row>
    <row r="72" spans="1:6" x14ac:dyDescent="0.25">
      <c r="A72" s="1" t="s">
        <v>123</v>
      </c>
      <c r="B72" s="1" t="s">
        <v>173</v>
      </c>
      <c r="C72" s="1">
        <f>VLOOKUP(Table139[[#This Row],[Code]],'Main Storage'!A:D,3,0)</f>
        <v>928</v>
      </c>
      <c r="D72" s="1">
        <f>VLOOKUP(Table139[[#This Row],[Code]],Montana!A:F,6,0)</f>
        <v>19</v>
      </c>
      <c r="E72" s="11"/>
      <c r="F72" s="1">
        <f>Table139[[#This Row],[Box]]-Table139[[#This Row],[Order]]</f>
        <v>19</v>
      </c>
    </row>
    <row r="73" spans="1:6" x14ac:dyDescent="0.25">
      <c r="A73" s="1" t="s">
        <v>124</v>
      </c>
      <c r="B73" s="1" t="s">
        <v>174</v>
      </c>
      <c r="C73" s="1">
        <f>VLOOKUP(Table139[[#This Row],[Code]],'Main Storage'!A:D,3,0)</f>
        <v>565</v>
      </c>
      <c r="D73" s="1">
        <f>VLOOKUP(Table139[[#This Row],[Code]],Montana!A:F,6,0)</f>
        <v>11</v>
      </c>
      <c r="E73" s="11"/>
      <c r="F73" s="1">
        <f>Table139[[#This Row],[Box]]-Table139[[#This Row],[Order]]</f>
        <v>11</v>
      </c>
    </row>
    <row r="74" spans="1:6" x14ac:dyDescent="0.25">
      <c r="A74" s="1" t="s">
        <v>125</v>
      </c>
      <c r="B74" s="1" t="s">
        <v>175</v>
      </c>
      <c r="C74" s="1">
        <f>VLOOKUP(Table139[[#This Row],[Code]],'Main Storage'!A:D,3,0)</f>
        <v>286</v>
      </c>
      <c r="D74" s="1">
        <f>VLOOKUP(Table139[[#This Row],[Code]],Montana!A:F,6,0)</f>
        <v>5</v>
      </c>
      <c r="E74" s="11"/>
      <c r="F74" s="1">
        <f>Table139[[#This Row],[Box]]-Table139[[#This Row],[Order]]</f>
        <v>5</v>
      </c>
    </row>
    <row r="75" spans="1:6" x14ac:dyDescent="0.25">
      <c r="A75" s="1" t="s">
        <v>126</v>
      </c>
      <c r="B75" s="1" t="s">
        <v>176</v>
      </c>
      <c r="C75" s="1">
        <f>VLOOKUP(Table139[[#This Row],[Code]],'Main Storage'!A:D,3,0)</f>
        <v>931</v>
      </c>
      <c r="D75" s="1">
        <f>VLOOKUP(Table139[[#This Row],[Code]],Montana!A:F,6,0)</f>
        <v>19</v>
      </c>
      <c r="E75" s="11"/>
      <c r="F75" s="1">
        <f>Table139[[#This Row],[Box]]-Table139[[#This Row],[Order]]</f>
        <v>19</v>
      </c>
    </row>
    <row r="76" spans="1:6" x14ac:dyDescent="0.25">
      <c r="A76" s="1" t="s">
        <v>127</v>
      </c>
      <c r="B76" s="1" t="s">
        <v>177</v>
      </c>
      <c r="C76" s="1">
        <f>VLOOKUP(Table139[[#This Row],[Code]],'Main Storage'!A:D,3,0)</f>
        <v>1045</v>
      </c>
      <c r="D76" s="1">
        <f>VLOOKUP(Table139[[#This Row],[Code]],Montana!A:F,6,0)</f>
        <v>21</v>
      </c>
      <c r="E76" s="11"/>
      <c r="F76" s="1">
        <f>Table139[[#This Row],[Box]]-Table139[[#This Row],[Order]]</f>
        <v>21</v>
      </c>
    </row>
    <row r="77" spans="1:6" x14ac:dyDescent="0.25">
      <c r="A77" s="1" t="s">
        <v>128</v>
      </c>
      <c r="B77" s="1" t="s">
        <v>178</v>
      </c>
      <c r="C77" s="1">
        <f>VLOOKUP(Table139[[#This Row],[Code]],'Main Storage'!A:D,3,0)</f>
        <v>1180</v>
      </c>
      <c r="D77" s="1">
        <f>VLOOKUP(Table139[[#This Row],[Code]],Montana!A:F,6,0)</f>
        <v>24</v>
      </c>
      <c r="E77" s="11"/>
      <c r="F77" s="1">
        <f>Table139[[#This Row],[Box]]-Table139[[#This Row],[Order]]</f>
        <v>24</v>
      </c>
    </row>
    <row r="78" spans="1:6" x14ac:dyDescent="0.25">
      <c r="A78" s="1" t="s">
        <v>129</v>
      </c>
      <c r="B78" s="1" t="s">
        <v>179</v>
      </c>
      <c r="C78" s="1">
        <f>VLOOKUP(Table139[[#This Row],[Code]],'Main Storage'!A:D,3,0)</f>
        <v>804</v>
      </c>
      <c r="D78" s="1">
        <f>VLOOKUP(Table139[[#This Row],[Code]],Montana!A:F,6,0)</f>
        <v>16</v>
      </c>
      <c r="E78" s="11"/>
      <c r="F78" s="1">
        <f>Table139[[#This Row],[Box]]-Table139[[#This Row],[Order]]</f>
        <v>16</v>
      </c>
    </row>
    <row r="79" spans="1:6" x14ac:dyDescent="0.25">
      <c r="A79" s="1" t="s">
        <v>130</v>
      </c>
      <c r="B79" s="1" t="s">
        <v>180</v>
      </c>
      <c r="C79" s="1">
        <f>VLOOKUP(Table139[[#This Row],[Code]],'Main Storage'!A:D,3,0)</f>
        <v>428</v>
      </c>
      <c r="D79" s="1">
        <f>VLOOKUP(Table139[[#This Row],[Code]],Montana!A:F,6,0)</f>
        <v>8</v>
      </c>
      <c r="E79" s="11"/>
      <c r="F79" s="1">
        <f>Table139[[#This Row],[Box]]-Table139[[#This Row],[Order]]</f>
        <v>8</v>
      </c>
    </row>
    <row r="80" spans="1:6" x14ac:dyDescent="0.25">
      <c r="A80" s="1" t="s">
        <v>131</v>
      </c>
      <c r="B80" s="1" t="s">
        <v>181</v>
      </c>
      <c r="C80" s="1">
        <f>VLOOKUP(Table139[[#This Row],[Code]],'Main Storage'!A:D,3,0)</f>
        <v>657</v>
      </c>
      <c r="D80" s="1">
        <f>VLOOKUP(Table139[[#This Row],[Code]],Montana!A:F,6,0)</f>
        <v>13</v>
      </c>
      <c r="E80" s="11"/>
      <c r="F80" s="1">
        <f>Table139[[#This Row],[Box]]-Table139[[#This Row],[Order]]</f>
        <v>13</v>
      </c>
    </row>
    <row r="81" spans="1:6" x14ac:dyDescent="0.25">
      <c r="A81" s="1" t="s">
        <v>132</v>
      </c>
      <c r="B81" s="1" t="s">
        <v>182</v>
      </c>
      <c r="C81" s="1">
        <f>VLOOKUP(Table139[[#This Row],[Code]],'Main Storage'!A:D,3,0)</f>
        <v>1289</v>
      </c>
      <c r="D81" s="1">
        <f>VLOOKUP(Table139[[#This Row],[Code]],Montana!A:F,6,0)</f>
        <v>26</v>
      </c>
      <c r="E81" s="11"/>
      <c r="F81" s="1">
        <f>Table139[[#This Row],[Box]]-Table139[[#This Row],[Order]]</f>
        <v>26</v>
      </c>
    </row>
    <row r="82" spans="1:6" x14ac:dyDescent="0.25">
      <c r="A82" s="1" t="s">
        <v>133</v>
      </c>
      <c r="B82" s="1" t="s">
        <v>183</v>
      </c>
      <c r="C82" s="1">
        <f>VLOOKUP(Table139[[#This Row],[Code]],'Main Storage'!A:D,3,0)</f>
        <v>1227</v>
      </c>
      <c r="D82" s="1">
        <f>VLOOKUP(Table139[[#This Row],[Code]],Montana!A:F,6,0)</f>
        <v>25</v>
      </c>
      <c r="E82" s="11"/>
      <c r="F82" s="1">
        <f>Table139[[#This Row],[Box]]-Table139[[#This Row],[Order]]</f>
        <v>25</v>
      </c>
    </row>
    <row r="83" spans="1:6" x14ac:dyDescent="0.25">
      <c r="A83" s="1" t="s">
        <v>134</v>
      </c>
      <c r="B83" s="1" t="s">
        <v>184</v>
      </c>
      <c r="C83" s="1">
        <f>VLOOKUP(Table139[[#This Row],[Code]],'Main Storage'!A:D,3,0)</f>
        <v>1376</v>
      </c>
      <c r="D83" s="1">
        <f>VLOOKUP(Table139[[#This Row],[Code]],Montana!A:F,6,0)</f>
        <v>28</v>
      </c>
      <c r="E83" s="11"/>
      <c r="F83" s="1">
        <f>Table139[[#This Row],[Box]]-Table139[[#This Row],[Order]]</f>
        <v>28</v>
      </c>
    </row>
    <row r="84" spans="1:6" x14ac:dyDescent="0.25">
      <c r="A84" s="1" t="s">
        <v>135</v>
      </c>
      <c r="B84" s="1" t="s">
        <v>185</v>
      </c>
      <c r="C84" s="1">
        <f>VLOOKUP(Table139[[#This Row],[Code]],'Main Storage'!A:D,3,0)</f>
        <v>436</v>
      </c>
      <c r="D84" s="1">
        <f>VLOOKUP(Table139[[#This Row],[Code]],Montana!A:F,6,0)</f>
        <v>9</v>
      </c>
      <c r="E84" s="11"/>
      <c r="F84" s="1">
        <f>Table139[[#This Row],[Box]]-Table139[[#This Row],[Order]]</f>
        <v>9</v>
      </c>
    </row>
    <row r="85" spans="1:6" x14ac:dyDescent="0.25">
      <c r="A85" s="1" t="s">
        <v>136</v>
      </c>
      <c r="B85" s="1" t="s">
        <v>186</v>
      </c>
      <c r="C85" s="1">
        <f>VLOOKUP(Table139[[#This Row],[Code]],'Main Storage'!A:D,3,0)</f>
        <v>1340</v>
      </c>
      <c r="D85" s="1">
        <f>VLOOKUP(Table139[[#This Row],[Code]],Montana!A:F,6,0)</f>
        <v>27</v>
      </c>
      <c r="E85" s="11"/>
      <c r="F85" s="1">
        <f>Table139[[#This Row],[Box]]-Table139[[#This Row],[Order]]</f>
        <v>27</v>
      </c>
    </row>
    <row r="86" spans="1:6" x14ac:dyDescent="0.25">
      <c r="A86" s="1" t="s">
        <v>137</v>
      </c>
      <c r="B86" s="1" t="s">
        <v>187</v>
      </c>
      <c r="C86" s="1">
        <f>VLOOKUP(Table139[[#This Row],[Code]],'Main Storage'!A:D,3,0)</f>
        <v>1218</v>
      </c>
      <c r="D86" s="1">
        <f>VLOOKUP(Table139[[#This Row],[Code]],Montana!A:F,6,0)</f>
        <v>25</v>
      </c>
      <c r="E86" s="11"/>
      <c r="F86" s="1">
        <f>Table139[[#This Row],[Box]]-Table139[[#This Row],[Order]]</f>
        <v>25</v>
      </c>
    </row>
    <row r="87" spans="1:6" x14ac:dyDescent="0.25">
      <c r="A87" s="1" t="s">
        <v>138</v>
      </c>
      <c r="B87" s="1" t="s">
        <v>188</v>
      </c>
      <c r="C87" s="1">
        <f>VLOOKUP(Table139[[#This Row],[Code]],'Main Storage'!A:D,3,0)</f>
        <v>848</v>
      </c>
      <c r="D87" s="1">
        <f>VLOOKUP(Table139[[#This Row],[Code]],Montana!A:F,6,0)</f>
        <v>17</v>
      </c>
      <c r="E87" s="11"/>
      <c r="F87" s="1">
        <f>Table139[[#This Row],[Box]]-Table139[[#This Row],[Order]]</f>
        <v>17</v>
      </c>
    </row>
    <row r="88" spans="1:6" x14ac:dyDescent="0.25">
      <c r="A88" s="1" t="s">
        <v>139</v>
      </c>
      <c r="B88" s="1" t="s">
        <v>189</v>
      </c>
      <c r="C88" s="1">
        <f>VLOOKUP(Table139[[#This Row],[Code]],'Main Storage'!A:D,3,0)</f>
        <v>1490</v>
      </c>
      <c r="D88" s="1">
        <f>VLOOKUP(Table139[[#This Row],[Code]],Montana!A:F,6,0)</f>
        <v>31</v>
      </c>
      <c r="E88" s="11"/>
      <c r="F88" s="1">
        <f>Table139[[#This Row],[Box]]-Table139[[#This Row],[Order]]</f>
        <v>31</v>
      </c>
    </row>
    <row r="89" spans="1:6" x14ac:dyDescent="0.25">
      <c r="A89" s="1" t="s">
        <v>140</v>
      </c>
      <c r="B89" s="1" t="s">
        <v>190</v>
      </c>
      <c r="C89" s="1">
        <f>VLOOKUP(Table139[[#This Row],[Code]],'Main Storage'!A:D,3,0)</f>
        <v>1162</v>
      </c>
      <c r="D89" s="1">
        <f>VLOOKUP(Table139[[#This Row],[Code]],Montana!A:F,6,0)</f>
        <v>24</v>
      </c>
      <c r="E89" s="11"/>
      <c r="F89" s="1">
        <f>Table139[[#This Row],[Box]]-Table139[[#This Row],[Order]]</f>
        <v>24</v>
      </c>
    </row>
    <row r="90" spans="1:6" x14ac:dyDescent="0.25">
      <c r="A90" s="1" t="s">
        <v>141</v>
      </c>
      <c r="B90" s="1" t="s">
        <v>191</v>
      </c>
      <c r="C90" s="1">
        <f>VLOOKUP(Table139[[#This Row],[Code]],'Main Storage'!A:D,3,0)</f>
        <v>431</v>
      </c>
      <c r="D90" s="1">
        <f>VLOOKUP(Table139[[#This Row],[Code]],Montana!A:F,6,0)</f>
        <v>8</v>
      </c>
      <c r="E90" s="11"/>
      <c r="F90" s="1">
        <f>Table139[[#This Row],[Box]]-Table139[[#This Row],[Order]]</f>
        <v>8</v>
      </c>
    </row>
    <row r="91" spans="1:6" x14ac:dyDescent="0.25">
      <c r="A91" s="1" t="s">
        <v>142</v>
      </c>
      <c r="B91" s="1" t="s">
        <v>192</v>
      </c>
      <c r="C91" s="1">
        <f>VLOOKUP(Table139[[#This Row],[Code]],'Main Storage'!A:D,3,0)</f>
        <v>496</v>
      </c>
      <c r="D91" s="1">
        <f>VLOOKUP(Table139[[#This Row],[Code]],Montana!A:F,6,0)</f>
        <v>10</v>
      </c>
      <c r="E91" s="11"/>
      <c r="F91" s="1">
        <f>Table139[[#This Row],[Box]]-Table139[[#This Row],[Order]]</f>
        <v>10</v>
      </c>
    </row>
    <row r="92" spans="1:6" x14ac:dyDescent="0.25">
      <c r="A92" s="1" t="s">
        <v>143</v>
      </c>
      <c r="B92" s="1" t="s">
        <v>193</v>
      </c>
      <c r="C92" s="1">
        <f>VLOOKUP(Table139[[#This Row],[Code]],'Main Storage'!A:D,3,0)</f>
        <v>1340</v>
      </c>
      <c r="D92" s="1">
        <f>VLOOKUP(Table139[[#This Row],[Code]],Montana!A:F,6,0)</f>
        <v>27</v>
      </c>
      <c r="E92" s="11"/>
      <c r="F92" s="1">
        <f>Table139[[#This Row],[Box]]-Table139[[#This Row],[Order]]</f>
        <v>27</v>
      </c>
    </row>
    <row r="93" spans="1:6" x14ac:dyDescent="0.25">
      <c r="A93" s="1" t="s">
        <v>144</v>
      </c>
      <c r="B93" s="1" t="s">
        <v>194</v>
      </c>
      <c r="C93" s="1">
        <f>VLOOKUP(Table139[[#This Row],[Code]],'Main Storage'!A:D,3,0)</f>
        <v>175</v>
      </c>
      <c r="D93" s="1">
        <f>VLOOKUP(Table139[[#This Row],[Code]],Montana!A:F,6,0)</f>
        <v>3</v>
      </c>
      <c r="E93" s="11"/>
      <c r="F93" s="1">
        <f>Table139[[#This Row],[Box]]-Table139[[#This Row],[Order]]</f>
        <v>3</v>
      </c>
    </row>
    <row r="94" spans="1:6" x14ac:dyDescent="0.25">
      <c r="A94" s="1" t="s">
        <v>145</v>
      </c>
      <c r="B94" s="1" t="s">
        <v>195</v>
      </c>
      <c r="C94" s="1">
        <f>VLOOKUP(Table139[[#This Row],[Code]],'Main Storage'!A:D,3,0)</f>
        <v>1164</v>
      </c>
      <c r="D94" s="1">
        <f>VLOOKUP(Table139[[#This Row],[Code]],Montana!A:F,6,0)</f>
        <v>24</v>
      </c>
      <c r="E94" s="11"/>
      <c r="F94" s="1">
        <f>Table139[[#This Row],[Box]]-Table139[[#This Row],[Order]]</f>
        <v>24</v>
      </c>
    </row>
    <row r="95" spans="1:6" x14ac:dyDescent="0.25">
      <c r="A95" s="1" t="s">
        <v>146</v>
      </c>
      <c r="B95" s="1" t="s">
        <v>196</v>
      </c>
      <c r="C95" s="1">
        <f>VLOOKUP(Table139[[#This Row],[Code]],'Main Storage'!A:D,3,0)</f>
        <v>610</v>
      </c>
      <c r="D95" s="1">
        <f>VLOOKUP(Table139[[#This Row],[Code]],Montana!A:F,6,0)</f>
        <v>12</v>
      </c>
      <c r="E95" s="11"/>
      <c r="F95" s="1">
        <f>Table139[[#This Row],[Box]]-Table139[[#This Row],[Order]]</f>
        <v>12</v>
      </c>
    </row>
    <row r="96" spans="1:6" x14ac:dyDescent="0.25">
      <c r="A96" s="1" t="s">
        <v>147</v>
      </c>
      <c r="B96" s="1" t="s">
        <v>197</v>
      </c>
      <c r="C96" s="1">
        <f>VLOOKUP(Table139[[#This Row],[Code]],'Main Storage'!A:D,3,0)</f>
        <v>26</v>
      </c>
      <c r="D96" s="1">
        <f>VLOOKUP(Table139[[#This Row],[Code]],Montana!A:F,6,0)</f>
        <v>0</v>
      </c>
      <c r="E96" s="11"/>
      <c r="F96" s="1">
        <f>Table139[[#This Row],[Box]]-Table139[[#This Row],[Order]]</f>
        <v>0</v>
      </c>
    </row>
    <row r="97" spans="1:6" x14ac:dyDescent="0.25">
      <c r="A97" s="1" t="s">
        <v>148</v>
      </c>
      <c r="B97" s="1" t="s">
        <v>198</v>
      </c>
      <c r="C97" s="1">
        <f>VLOOKUP(Table139[[#This Row],[Code]],'Main Storage'!A:D,3,0)</f>
        <v>122</v>
      </c>
      <c r="D97" s="1">
        <f>VLOOKUP(Table139[[#This Row],[Code]],Montana!A:F,6,0)</f>
        <v>2</v>
      </c>
      <c r="E97" s="11"/>
      <c r="F97" s="1">
        <f>Table139[[#This Row],[Box]]-Table139[[#This Row],[Order]]</f>
        <v>2</v>
      </c>
    </row>
    <row r="98" spans="1:6" x14ac:dyDescent="0.25">
      <c r="A98" s="1" t="s">
        <v>149</v>
      </c>
      <c r="B98" s="1" t="s">
        <v>199</v>
      </c>
      <c r="C98" s="1">
        <f>VLOOKUP(Table139[[#This Row],[Code]],'Main Storage'!A:D,3,0)</f>
        <v>154</v>
      </c>
      <c r="D98" s="1">
        <f>VLOOKUP(Table139[[#This Row],[Code]],Montana!A:F,6,0)</f>
        <v>3</v>
      </c>
      <c r="E98" s="11"/>
      <c r="F98" s="1">
        <f>Table139[[#This Row],[Box]]-Table139[[#This Row],[Order]]</f>
        <v>3</v>
      </c>
    </row>
    <row r="99" spans="1:6" x14ac:dyDescent="0.25">
      <c r="A99" s="1" t="s">
        <v>150</v>
      </c>
      <c r="B99" s="1" t="s">
        <v>200</v>
      </c>
      <c r="C99" s="1">
        <f>VLOOKUP(Table139[[#This Row],[Code]],'Main Storage'!A:D,3,0)</f>
        <v>1050</v>
      </c>
      <c r="D99" s="1">
        <f>VLOOKUP(Table139[[#This Row],[Code]],Montana!A:F,6,0)</f>
        <v>21</v>
      </c>
      <c r="E99" s="11"/>
      <c r="F99" s="1">
        <f>Table139[[#This Row],[Box]]-Table139[[#This Row],[Order]]</f>
        <v>21</v>
      </c>
    </row>
    <row r="100" spans="1:6" x14ac:dyDescent="0.25">
      <c r="A100" s="1" t="s">
        <v>151</v>
      </c>
      <c r="B100" s="1" t="s">
        <v>201</v>
      </c>
      <c r="C100" s="1">
        <f>VLOOKUP(Table139[[#This Row],[Code]],'Main Storage'!A:D,3,0)</f>
        <v>1337</v>
      </c>
      <c r="D100" s="1">
        <f>VLOOKUP(Table139[[#This Row],[Code]],Montana!A:F,6,0)</f>
        <v>27</v>
      </c>
      <c r="E100" s="11"/>
      <c r="F100" s="1">
        <f>Table139[[#This Row],[Box]]-Table139[[#This Row],[Order]]</f>
        <v>27</v>
      </c>
    </row>
    <row r="101" spans="1:6" x14ac:dyDescent="0.25">
      <c r="A101" s="1" t="s">
        <v>204</v>
      </c>
      <c r="B101" s="1" t="s">
        <v>205</v>
      </c>
      <c r="C101" s="1">
        <f>VLOOKUP(Table139[[#This Row],[Code]],'Main Storage'!A:D,3,0)</f>
        <v>330</v>
      </c>
      <c r="D101" s="1">
        <f>VLOOKUP(Table139[[#This Row],[Code]],Montana!A:F,6,0)</f>
        <v>2</v>
      </c>
      <c r="E101" s="11"/>
      <c r="F101" s="1">
        <f>Table139[[#This Row],[Box]]-Table139[[#This Row],[Order]]</f>
        <v>2</v>
      </c>
    </row>
    <row r="102" spans="1:6" x14ac:dyDescent="0.25">
      <c r="A102" s="1" t="s">
        <v>206</v>
      </c>
      <c r="B102" s="1" t="s">
        <v>207</v>
      </c>
      <c r="C102" s="1">
        <f>VLOOKUP(Table139[[#This Row],[Code]],'Main Storage'!A:D,3,0)</f>
        <v>737</v>
      </c>
      <c r="D102" s="1">
        <f>VLOOKUP(Table139[[#This Row],[Code]],Montana!A:F,6,0)</f>
        <v>6</v>
      </c>
      <c r="E102" s="11"/>
      <c r="F102" s="1">
        <f>Table139[[#This Row],[Box]]-Table139[[#This Row],[Order]]</f>
        <v>6</v>
      </c>
    </row>
    <row r="103" spans="1:6" x14ac:dyDescent="0.25">
      <c r="A103" s="1" t="s">
        <v>208</v>
      </c>
      <c r="B103" s="1" t="s">
        <v>209</v>
      </c>
      <c r="C103" s="1">
        <f>VLOOKUP(Table139[[#This Row],[Code]],'Main Storage'!A:D,3,0)</f>
        <v>811</v>
      </c>
      <c r="D103" s="1">
        <f>VLOOKUP(Table139[[#This Row],[Code]],Montana!A:F,6,0)</f>
        <v>6</v>
      </c>
      <c r="E103" s="11"/>
      <c r="F103" s="1">
        <f>Table139[[#This Row],[Box]]-Table139[[#This Row],[Order]]</f>
        <v>6</v>
      </c>
    </row>
    <row r="104" spans="1:6" x14ac:dyDescent="0.25">
      <c r="A104" s="1" t="s">
        <v>210</v>
      </c>
      <c r="B104" s="1" t="s">
        <v>211</v>
      </c>
      <c r="C104" s="1">
        <f>VLOOKUP(Table139[[#This Row],[Code]],'Main Storage'!A:D,3,0)</f>
        <v>533</v>
      </c>
      <c r="D104" s="1">
        <f>VLOOKUP(Table139[[#This Row],[Code]],Montana!A:F,6,0)</f>
        <v>4</v>
      </c>
      <c r="E104" s="11"/>
      <c r="F104" s="1">
        <f>Table139[[#This Row],[Box]]-Table139[[#This Row],[Order]]</f>
        <v>4</v>
      </c>
    </row>
    <row r="105" spans="1:6" x14ac:dyDescent="0.25">
      <c r="A105" s="1" t="s">
        <v>212</v>
      </c>
      <c r="B105" s="1" t="s">
        <v>213</v>
      </c>
      <c r="C105" s="1">
        <f>VLOOKUP(Table139[[#This Row],[Code]],'Main Storage'!A:D,3,0)</f>
        <v>1484</v>
      </c>
      <c r="D105" s="1">
        <f>VLOOKUP(Table139[[#This Row],[Code]],Montana!A:F,6,0)</f>
        <v>12</v>
      </c>
      <c r="E105" s="11"/>
      <c r="F105" s="1">
        <f>Table139[[#This Row],[Box]]-Table139[[#This Row],[Order]]</f>
        <v>12</v>
      </c>
    </row>
    <row r="106" spans="1:6" x14ac:dyDescent="0.25">
      <c r="A106" s="1" t="s">
        <v>214</v>
      </c>
      <c r="B106" s="1" t="s">
        <v>215</v>
      </c>
      <c r="C106" s="1">
        <f>VLOOKUP(Table139[[#This Row],[Code]],'Main Storage'!A:D,3,0)</f>
        <v>521</v>
      </c>
      <c r="D106" s="1">
        <f>VLOOKUP(Table139[[#This Row],[Code]],Montana!A:F,6,0)</f>
        <v>4</v>
      </c>
      <c r="E106" s="11"/>
      <c r="F106" s="1">
        <f>Table139[[#This Row],[Box]]-Table139[[#This Row],[Order]]</f>
        <v>4</v>
      </c>
    </row>
    <row r="107" spans="1:6" x14ac:dyDescent="0.25">
      <c r="A107" s="1" t="s">
        <v>216</v>
      </c>
      <c r="B107" s="1" t="s">
        <v>217</v>
      </c>
      <c r="C107" s="1">
        <f>VLOOKUP(Table139[[#This Row],[Code]],'Main Storage'!A:D,3,0)</f>
        <v>240</v>
      </c>
      <c r="D107" s="1">
        <f>VLOOKUP(Table139[[#This Row],[Code]],Montana!A:F,6,0)</f>
        <v>2</v>
      </c>
      <c r="E107" s="11"/>
      <c r="F107" s="1">
        <f>Table139[[#This Row],[Box]]-Table139[[#This Row],[Order]]</f>
        <v>2</v>
      </c>
    </row>
    <row r="108" spans="1:6" x14ac:dyDescent="0.25">
      <c r="A108" s="1" t="s">
        <v>218</v>
      </c>
      <c r="B108" s="1" t="s">
        <v>219</v>
      </c>
      <c r="C108" s="1">
        <f>VLOOKUP(Table139[[#This Row],[Code]],'Main Storage'!A:D,3,0)</f>
        <v>946</v>
      </c>
      <c r="D108" s="1">
        <f>VLOOKUP(Table139[[#This Row],[Code]],Montana!A:F,6,0)</f>
        <v>7</v>
      </c>
      <c r="E108" s="11"/>
      <c r="F108" s="1">
        <f>Table139[[#This Row],[Box]]-Table139[[#This Row],[Order]]</f>
        <v>7</v>
      </c>
    </row>
    <row r="109" spans="1:6" x14ac:dyDescent="0.25">
      <c r="A109" s="1" t="s">
        <v>220</v>
      </c>
      <c r="B109" s="1" t="s">
        <v>221</v>
      </c>
      <c r="C109" s="1">
        <f>VLOOKUP(Table139[[#This Row],[Code]],'Main Storage'!A:D,3,0)</f>
        <v>1447</v>
      </c>
      <c r="D109" s="1">
        <f>VLOOKUP(Table139[[#This Row],[Code]],Montana!A:F,6,0)</f>
        <v>12</v>
      </c>
      <c r="E109" s="11"/>
      <c r="F109" s="1">
        <f>Table139[[#This Row],[Box]]-Table139[[#This Row],[Order]]</f>
        <v>12</v>
      </c>
    </row>
    <row r="110" spans="1:6" x14ac:dyDescent="0.25">
      <c r="A110" s="1" t="s">
        <v>222</v>
      </c>
      <c r="B110" s="1" t="s">
        <v>223</v>
      </c>
      <c r="C110" s="1">
        <f>VLOOKUP(Table139[[#This Row],[Code]],'Main Storage'!A:D,3,0)</f>
        <v>489</v>
      </c>
      <c r="D110" s="1">
        <f>VLOOKUP(Table139[[#This Row],[Code]],Montana!A:F,6,0)</f>
        <v>4</v>
      </c>
      <c r="E110" s="11"/>
      <c r="F110" s="1">
        <f>Table139[[#This Row],[Box]]-Table139[[#This Row],[Order]]</f>
        <v>4</v>
      </c>
    </row>
    <row r="111" spans="1:6" x14ac:dyDescent="0.25">
      <c r="A111" s="1" t="s">
        <v>224</v>
      </c>
      <c r="B111" s="1" t="s">
        <v>225</v>
      </c>
      <c r="C111" s="1">
        <f>VLOOKUP(Table139[[#This Row],[Code]],'Main Storage'!A:D,3,0)</f>
        <v>641</v>
      </c>
      <c r="D111" s="1">
        <f>VLOOKUP(Table139[[#This Row],[Code]],Montana!A:F,6,0)</f>
        <v>5</v>
      </c>
      <c r="E111" s="11"/>
      <c r="F111" s="1">
        <f>Table139[[#This Row],[Box]]-Table139[[#This Row],[Order]]</f>
        <v>5</v>
      </c>
    </row>
    <row r="112" spans="1:6" x14ac:dyDescent="0.25">
      <c r="A112" s="1" t="s">
        <v>226</v>
      </c>
      <c r="B112" s="1" t="s">
        <v>227</v>
      </c>
      <c r="C112" s="1">
        <f>VLOOKUP(Table139[[#This Row],[Code]],'Main Storage'!A:D,3,0)</f>
        <v>790</v>
      </c>
      <c r="D112" s="1">
        <f>VLOOKUP(Table139[[#This Row],[Code]],Montana!A:F,6,0)</f>
        <v>6</v>
      </c>
      <c r="E112" s="11"/>
      <c r="F112" s="1">
        <f>Table139[[#This Row],[Box]]-Table139[[#This Row],[Order]]</f>
        <v>6</v>
      </c>
    </row>
    <row r="113" spans="1:6" x14ac:dyDescent="0.25">
      <c r="A113" s="1" t="s">
        <v>228</v>
      </c>
      <c r="B113" s="1" t="s">
        <v>229</v>
      </c>
      <c r="C113" s="1">
        <f>VLOOKUP(Table139[[#This Row],[Code]],'Main Storage'!A:D,3,0)</f>
        <v>1153</v>
      </c>
      <c r="D113" s="1">
        <f>VLOOKUP(Table139[[#This Row],[Code]],Montana!A:F,6,0)</f>
        <v>9</v>
      </c>
      <c r="E113" s="11"/>
      <c r="F113" s="1">
        <f>Table139[[#This Row],[Box]]-Table139[[#This Row],[Order]]</f>
        <v>9</v>
      </c>
    </row>
    <row r="114" spans="1:6" x14ac:dyDescent="0.25">
      <c r="A114" s="1" t="s">
        <v>230</v>
      </c>
      <c r="B114" s="1" t="s">
        <v>231</v>
      </c>
      <c r="C114" s="1">
        <f>VLOOKUP(Table139[[#This Row],[Code]],'Main Storage'!A:D,3,0)</f>
        <v>983</v>
      </c>
      <c r="D114" s="1">
        <f>VLOOKUP(Table139[[#This Row],[Code]],Montana!A:F,6,0)</f>
        <v>8</v>
      </c>
      <c r="E114" s="11"/>
      <c r="F114" s="1">
        <f>Table139[[#This Row],[Box]]-Table139[[#This Row],[Order]]</f>
        <v>8</v>
      </c>
    </row>
    <row r="115" spans="1:6" x14ac:dyDescent="0.25">
      <c r="A115" s="1" t="s">
        <v>232</v>
      </c>
      <c r="B115" s="1" t="s">
        <v>233</v>
      </c>
      <c r="C115" s="1">
        <f>VLOOKUP(Table139[[#This Row],[Code]],'Main Storage'!A:D,3,0)</f>
        <v>853</v>
      </c>
      <c r="D115" s="1">
        <f>VLOOKUP(Table139[[#This Row],[Code]],Montana!A:F,6,0)</f>
        <v>7</v>
      </c>
      <c r="E115" s="11"/>
      <c r="F115" s="1">
        <f>Table139[[#This Row],[Box]]-Table139[[#This Row],[Order]]</f>
        <v>7</v>
      </c>
    </row>
    <row r="116" spans="1:6" x14ac:dyDescent="0.25">
      <c r="A116" s="1" t="s">
        <v>234</v>
      </c>
      <c r="B116" s="1" t="s">
        <v>235</v>
      </c>
      <c r="C116" s="1">
        <f>VLOOKUP(Table139[[#This Row],[Code]],'Main Storage'!A:D,3,0)</f>
        <v>356</v>
      </c>
      <c r="D116" s="1">
        <f>VLOOKUP(Table139[[#This Row],[Code]],Montana!A:F,6,0)</f>
        <v>2</v>
      </c>
      <c r="E116" s="11"/>
      <c r="F116" s="1">
        <f>Table139[[#This Row],[Box]]-Table139[[#This Row],[Order]]</f>
        <v>2</v>
      </c>
    </row>
    <row r="117" spans="1:6" x14ac:dyDescent="0.25">
      <c r="A117" s="1" t="s">
        <v>236</v>
      </c>
      <c r="B117" s="1" t="s">
        <v>237</v>
      </c>
      <c r="C117" s="1">
        <f>VLOOKUP(Table139[[#This Row],[Code]],'Main Storage'!A:D,3,0)</f>
        <v>556</v>
      </c>
      <c r="D117" s="1">
        <f>VLOOKUP(Table139[[#This Row],[Code]],Montana!A:F,6,0)</f>
        <v>4</v>
      </c>
      <c r="E117" s="11"/>
      <c r="F117" s="1">
        <f>Table139[[#This Row],[Box]]-Table139[[#This Row],[Order]]</f>
        <v>4</v>
      </c>
    </row>
    <row r="118" spans="1:6" x14ac:dyDescent="0.25">
      <c r="A118" s="1" t="s">
        <v>238</v>
      </c>
      <c r="B118" s="1" t="s">
        <v>239</v>
      </c>
      <c r="C118" s="1">
        <f>VLOOKUP(Table139[[#This Row],[Code]],'Main Storage'!A:D,3,0)</f>
        <v>768</v>
      </c>
      <c r="D118" s="1">
        <f>VLOOKUP(Table139[[#This Row],[Code]],Montana!A:F,6,0)</f>
        <v>6</v>
      </c>
      <c r="E118" s="11"/>
      <c r="F118" s="1">
        <f>Table139[[#This Row],[Box]]-Table139[[#This Row],[Order]]</f>
        <v>6</v>
      </c>
    </row>
    <row r="119" spans="1:6" x14ac:dyDescent="0.25">
      <c r="A119" s="1" t="s">
        <v>240</v>
      </c>
      <c r="B119" s="1" t="s">
        <v>241</v>
      </c>
      <c r="C119" s="1">
        <f>VLOOKUP(Table139[[#This Row],[Code]],'Main Storage'!A:D,3,0)</f>
        <v>582</v>
      </c>
      <c r="D119" s="1">
        <f>VLOOKUP(Table139[[#This Row],[Code]],Montana!A:F,6,0)</f>
        <v>4</v>
      </c>
      <c r="E119" s="11"/>
      <c r="F119" s="1">
        <f>Table139[[#This Row],[Box]]-Table139[[#This Row],[Order]]</f>
        <v>4</v>
      </c>
    </row>
    <row r="120" spans="1:6" x14ac:dyDescent="0.25">
      <c r="A120" s="1" t="s">
        <v>242</v>
      </c>
      <c r="B120" s="1" t="s">
        <v>243</v>
      </c>
      <c r="C120" s="1">
        <f>VLOOKUP(Table139[[#This Row],[Code]],'Main Storage'!A:D,3,0)</f>
        <v>467</v>
      </c>
      <c r="D120" s="1">
        <f>VLOOKUP(Table139[[#This Row],[Code]],Montana!A:F,6,0)</f>
        <v>3</v>
      </c>
      <c r="E120" s="11"/>
      <c r="F120" s="1">
        <f>Table139[[#This Row],[Box]]-Table139[[#This Row],[Order]]</f>
        <v>3</v>
      </c>
    </row>
    <row r="121" spans="1:6" x14ac:dyDescent="0.25">
      <c r="A121" s="1" t="s">
        <v>244</v>
      </c>
      <c r="B121" s="1" t="s">
        <v>245</v>
      </c>
      <c r="C121" s="1">
        <f>VLOOKUP(Table139[[#This Row],[Code]],'Main Storage'!A:D,3,0)</f>
        <v>47</v>
      </c>
      <c r="D121" s="1">
        <f>VLOOKUP(Table139[[#This Row],[Code]],Montana!A:F,6,0)</f>
        <v>0</v>
      </c>
      <c r="E121" s="11"/>
      <c r="F121" s="1">
        <f>Table139[[#This Row],[Box]]-Table139[[#This Row],[Order]]</f>
        <v>0</v>
      </c>
    </row>
    <row r="122" spans="1:6" x14ac:dyDescent="0.25">
      <c r="A122" s="1" t="s">
        <v>246</v>
      </c>
      <c r="B122" s="1" t="s">
        <v>247</v>
      </c>
      <c r="C122" s="1">
        <f>VLOOKUP(Table139[[#This Row],[Code]],'Main Storage'!A:D,3,0)</f>
        <v>463</v>
      </c>
      <c r="D122" s="1">
        <f>VLOOKUP(Table139[[#This Row],[Code]],Montana!A:F,6,0)</f>
        <v>3</v>
      </c>
      <c r="E122" s="11"/>
      <c r="F122" s="1">
        <f>Table139[[#This Row],[Box]]-Table139[[#This Row],[Order]]</f>
        <v>3</v>
      </c>
    </row>
    <row r="123" spans="1:6" x14ac:dyDescent="0.25">
      <c r="A123" s="1" t="s">
        <v>248</v>
      </c>
      <c r="B123" s="1" t="s">
        <v>249</v>
      </c>
      <c r="C123" s="1">
        <f>VLOOKUP(Table139[[#This Row],[Code]],'Main Storage'!A:D,3,0)</f>
        <v>1434</v>
      </c>
      <c r="D123" s="1">
        <f>VLOOKUP(Table139[[#This Row],[Code]],Montana!A:F,6,0)</f>
        <v>11</v>
      </c>
      <c r="E123" s="11"/>
      <c r="F123" s="1">
        <f>Table139[[#This Row],[Box]]-Table139[[#This Row],[Order]]</f>
        <v>11</v>
      </c>
    </row>
    <row r="124" spans="1:6" x14ac:dyDescent="0.25">
      <c r="A124" s="1" t="s">
        <v>250</v>
      </c>
      <c r="B124" s="1" t="s">
        <v>251</v>
      </c>
      <c r="C124" s="1">
        <f>VLOOKUP(Table139[[#This Row],[Code]],'Main Storage'!A:D,3,0)</f>
        <v>399</v>
      </c>
      <c r="D124" s="1">
        <f>VLOOKUP(Table139[[#This Row],[Code]],Montana!A:F,6,0)</f>
        <v>3</v>
      </c>
      <c r="E124" s="11"/>
      <c r="F124" s="1">
        <f>Table139[[#This Row],[Box]]-Table139[[#This Row],[Order]]</f>
        <v>3</v>
      </c>
    </row>
    <row r="125" spans="1:6" x14ac:dyDescent="0.25">
      <c r="A125" s="1" t="s">
        <v>252</v>
      </c>
      <c r="B125" s="1" t="s">
        <v>253</v>
      </c>
      <c r="C125" s="1">
        <f>VLOOKUP(Table139[[#This Row],[Code]],'Main Storage'!A:D,3,0)</f>
        <v>910</v>
      </c>
      <c r="D125" s="1">
        <f>VLOOKUP(Table139[[#This Row],[Code]],Montana!A:F,6,0)</f>
        <v>7</v>
      </c>
      <c r="E125" s="11"/>
      <c r="F125" s="1">
        <f>Table139[[#This Row],[Box]]-Table139[[#This Row],[Order]]</f>
        <v>7</v>
      </c>
    </row>
    <row r="126" spans="1:6" x14ac:dyDescent="0.25">
      <c r="A126" s="1" t="s">
        <v>254</v>
      </c>
      <c r="B126" s="1" t="s">
        <v>255</v>
      </c>
      <c r="C126" s="1">
        <f>VLOOKUP(Table139[[#This Row],[Code]],'Main Storage'!A:D,3,0)</f>
        <v>710</v>
      </c>
      <c r="D126" s="1">
        <f>VLOOKUP(Table139[[#This Row],[Code]],Montana!A:F,6,0)</f>
        <v>5</v>
      </c>
      <c r="E126" s="11"/>
      <c r="F126" s="1">
        <f>Table139[[#This Row],[Box]]-Table139[[#This Row],[Order]]</f>
        <v>5</v>
      </c>
    </row>
    <row r="127" spans="1:6" x14ac:dyDescent="0.25">
      <c r="A127" s="1" t="s">
        <v>256</v>
      </c>
      <c r="B127" s="1" t="s">
        <v>257</v>
      </c>
      <c r="C127" s="1">
        <f>VLOOKUP(Table139[[#This Row],[Code]],'Main Storage'!A:D,3,0)</f>
        <v>977</v>
      </c>
      <c r="D127" s="1">
        <f>VLOOKUP(Table139[[#This Row],[Code]],Montana!A:F,6,0)</f>
        <v>8</v>
      </c>
      <c r="E127" s="11"/>
      <c r="F127" s="1">
        <f>Table139[[#This Row],[Box]]-Table139[[#This Row],[Order]]</f>
        <v>8</v>
      </c>
    </row>
    <row r="128" spans="1:6" x14ac:dyDescent="0.25">
      <c r="A128" s="1" t="s">
        <v>258</v>
      </c>
      <c r="B128" s="1" t="s">
        <v>259</v>
      </c>
      <c r="C128" s="1">
        <f>VLOOKUP(Table139[[#This Row],[Code]],'Main Storage'!A:D,3,0)</f>
        <v>592</v>
      </c>
      <c r="D128" s="1">
        <f>VLOOKUP(Table139[[#This Row],[Code]],Montana!A:F,6,0)</f>
        <v>4</v>
      </c>
      <c r="E128" s="11"/>
      <c r="F128" s="1">
        <f>Table139[[#This Row],[Box]]-Table139[[#This Row],[Order]]</f>
        <v>4</v>
      </c>
    </row>
    <row r="129" spans="1:6" x14ac:dyDescent="0.25">
      <c r="A129" s="1" t="s">
        <v>260</v>
      </c>
      <c r="B129" s="1" t="s">
        <v>261</v>
      </c>
      <c r="C129" s="1">
        <f>VLOOKUP(Table139[[#This Row],[Code]],'Main Storage'!A:D,3,0)</f>
        <v>576</v>
      </c>
      <c r="D129" s="1">
        <f>VLOOKUP(Table139[[#This Row],[Code]],Montana!A:F,6,0)</f>
        <v>4</v>
      </c>
      <c r="E129" s="11"/>
      <c r="F129" s="1">
        <f>Table139[[#This Row],[Box]]-Table139[[#This Row],[Order]]</f>
        <v>4</v>
      </c>
    </row>
    <row r="130" spans="1:6" x14ac:dyDescent="0.25">
      <c r="A130" s="1" t="s">
        <v>262</v>
      </c>
      <c r="B130" s="1" t="s">
        <v>263</v>
      </c>
      <c r="C130" s="1">
        <f>VLOOKUP(Table139[[#This Row],[Code]],'Main Storage'!A:D,3,0)</f>
        <v>565</v>
      </c>
      <c r="D130" s="1">
        <f>VLOOKUP(Table139[[#This Row],[Code]],Montana!A:F,6,0)</f>
        <v>4</v>
      </c>
      <c r="E130" s="11"/>
      <c r="F130" s="1">
        <f>Table139[[#This Row],[Box]]-Table139[[#This Row],[Order]]</f>
        <v>4</v>
      </c>
    </row>
    <row r="131" spans="1:6" x14ac:dyDescent="0.25">
      <c r="A131" s="1" t="s">
        <v>264</v>
      </c>
      <c r="B131" s="1" t="s">
        <v>265</v>
      </c>
      <c r="C131" s="1">
        <f>VLOOKUP(Table139[[#This Row],[Code]],'Main Storage'!A:D,3,0)</f>
        <v>931</v>
      </c>
      <c r="D131" s="1">
        <f>VLOOKUP(Table139[[#This Row],[Code]],Montana!A:F,6,0)</f>
        <v>7</v>
      </c>
      <c r="E131" s="11"/>
      <c r="F131" s="1">
        <f>Table139[[#This Row],[Box]]-Table139[[#This Row],[Order]]</f>
        <v>7</v>
      </c>
    </row>
    <row r="132" spans="1:6" x14ac:dyDescent="0.25">
      <c r="A132" s="1" t="s">
        <v>266</v>
      </c>
      <c r="B132" s="1" t="s">
        <v>267</v>
      </c>
      <c r="C132" s="1">
        <f>VLOOKUP(Table139[[#This Row],[Code]],'Main Storage'!A:D,3,0)</f>
        <v>791</v>
      </c>
      <c r="D132" s="1">
        <f>VLOOKUP(Table139[[#This Row],[Code]],Montana!A:F,6,0)</f>
        <v>6</v>
      </c>
      <c r="E132" s="11"/>
      <c r="F132" s="1">
        <f>Table139[[#This Row],[Box]]-Table139[[#This Row],[Order]]</f>
        <v>6</v>
      </c>
    </row>
    <row r="133" spans="1:6" x14ac:dyDescent="0.25">
      <c r="A133" s="1" t="s">
        <v>268</v>
      </c>
      <c r="B133" s="1" t="s">
        <v>269</v>
      </c>
      <c r="C133" s="1">
        <f>VLOOKUP(Table139[[#This Row],[Code]],'Main Storage'!A:D,3,0)</f>
        <v>274</v>
      </c>
      <c r="D133" s="1">
        <f>VLOOKUP(Table139[[#This Row],[Code]],Montana!A:F,6,0)</f>
        <v>2</v>
      </c>
      <c r="E133" s="11"/>
      <c r="F133" s="1">
        <f>Table139[[#This Row],[Box]]-Table139[[#This Row],[Order]]</f>
        <v>2</v>
      </c>
    </row>
    <row r="134" spans="1:6" x14ac:dyDescent="0.25">
      <c r="A134" s="1" t="s">
        <v>270</v>
      </c>
      <c r="B134" s="1" t="s">
        <v>271</v>
      </c>
      <c r="C134" s="1">
        <f>VLOOKUP(Table139[[#This Row],[Code]],'Main Storage'!A:D,3,0)</f>
        <v>640</v>
      </c>
      <c r="D134" s="1">
        <f>VLOOKUP(Table139[[#This Row],[Code]],Montana!A:F,6,0)</f>
        <v>5</v>
      </c>
      <c r="E134" s="11"/>
      <c r="F134" s="1">
        <f>Table139[[#This Row],[Box]]-Table139[[#This Row],[Order]]</f>
        <v>5</v>
      </c>
    </row>
    <row r="135" spans="1:6" x14ac:dyDescent="0.25">
      <c r="A135" s="1" t="s">
        <v>272</v>
      </c>
      <c r="B135" s="1" t="s">
        <v>273</v>
      </c>
      <c r="C135" s="1">
        <f>VLOOKUP(Table139[[#This Row],[Code]],'Main Storage'!A:D,3,0)</f>
        <v>1239</v>
      </c>
      <c r="D135" s="1">
        <f>VLOOKUP(Table139[[#This Row],[Code]],Montana!A:F,6,0)</f>
        <v>10</v>
      </c>
      <c r="E135" s="11"/>
      <c r="F135" s="1">
        <f>Table139[[#This Row],[Box]]-Table139[[#This Row],[Order]]</f>
        <v>10</v>
      </c>
    </row>
    <row r="136" spans="1:6" x14ac:dyDescent="0.25">
      <c r="A136" s="1" t="s">
        <v>274</v>
      </c>
      <c r="B136" s="1" t="s">
        <v>275</v>
      </c>
      <c r="C136" s="1">
        <f>VLOOKUP(Table139[[#This Row],[Code]],'Main Storage'!A:D,3,0)</f>
        <v>359</v>
      </c>
      <c r="D136" s="1">
        <f>VLOOKUP(Table139[[#This Row],[Code]],Montana!A:F,6,0)</f>
        <v>2</v>
      </c>
      <c r="E136" s="11"/>
      <c r="F136" s="1">
        <f>Table139[[#This Row],[Box]]-Table139[[#This Row],[Order]]</f>
        <v>2</v>
      </c>
    </row>
    <row r="137" spans="1:6" x14ac:dyDescent="0.25">
      <c r="A137" s="1" t="s">
        <v>276</v>
      </c>
      <c r="B137" s="1" t="s">
        <v>277</v>
      </c>
      <c r="C137" s="1">
        <f>VLOOKUP(Table139[[#This Row],[Code]],'Main Storage'!A:D,3,0)</f>
        <v>495</v>
      </c>
      <c r="D137" s="1">
        <f>VLOOKUP(Table139[[#This Row],[Code]],Montana!A:F,6,0)</f>
        <v>4</v>
      </c>
      <c r="E137" s="11"/>
      <c r="F137" s="1">
        <f>Table139[[#This Row],[Box]]-Table139[[#This Row],[Order]]</f>
        <v>4</v>
      </c>
    </row>
    <row r="138" spans="1:6" x14ac:dyDescent="0.25">
      <c r="A138" s="1" t="s">
        <v>278</v>
      </c>
      <c r="B138" s="1" t="s">
        <v>279</v>
      </c>
      <c r="C138" s="1">
        <f>VLOOKUP(Table139[[#This Row],[Code]],'Main Storage'!A:D,3,0)</f>
        <v>481</v>
      </c>
      <c r="D138" s="1">
        <f>VLOOKUP(Table139[[#This Row],[Code]],Montana!A:F,6,0)</f>
        <v>4</v>
      </c>
      <c r="E138" s="11"/>
      <c r="F138" s="1">
        <f>Table139[[#This Row],[Box]]-Table139[[#This Row],[Order]]</f>
        <v>4</v>
      </c>
    </row>
    <row r="139" spans="1:6" x14ac:dyDescent="0.25">
      <c r="A139" s="1" t="s">
        <v>280</v>
      </c>
      <c r="B139" s="1" t="s">
        <v>281</v>
      </c>
      <c r="C139" s="1">
        <f>VLOOKUP(Table139[[#This Row],[Code]],'Main Storage'!A:D,3,0)</f>
        <v>872</v>
      </c>
      <c r="D139" s="1">
        <f>VLOOKUP(Table139[[#This Row],[Code]],Montana!A:F,6,0)</f>
        <v>7</v>
      </c>
      <c r="E139" s="11"/>
      <c r="F139" s="1">
        <f>Table139[[#This Row],[Box]]-Table139[[#This Row],[Order]]</f>
        <v>7</v>
      </c>
    </row>
    <row r="140" spans="1:6" x14ac:dyDescent="0.25">
      <c r="A140" s="1" t="s">
        <v>282</v>
      </c>
      <c r="B140" s="1" t="s">
        <v>283</v>
      </c>
      <c r="C140" s="1">
        <f>VLOOKUP(Table139[[#This Row],[Code]],'Main Storage'!A:D,3,0)</f>
        <v>864</v>
      </c>
      <c r="D140" s="1">
        <f>VLOOKUP(Table139[[#This Row],[Code]],Montana!A:F,6,0)</f>
        <v>7</v>
      </c>
      <c r="E140" s="11"/>
      <c r="F140" s="1">
        <f>Table139[[#This Row],[Box]]-Table139[[#This Row],[Order]]</f>
        <v>7</v>
      </c>
    </row>
    <row r="141" spans="1:6" x14ac:dyDescent="0.25">
      <c r="A141" s="1" t="s">
        <v>284</v>
      </c>
      <c r="B141" s="1" t="s">
        <v>285</v>
      </c>
      <c r="C141" s="1">
        <f>VLOOKUP(Table139[[#This Row],[Code]],'Main Storage'!A:D,3,0)</f>
        <v>1498</v>
      </c>
      <c r="D141" s="1">
        <f>VLOOKUP(Table139[[#This Row],[Code]],Montana!A:F,6,0)</f>
        <v>12</v>
      </c>
      <c r="E141" s="11"/>
      <c r="F141" s="1">
        <f>Table139[[#This Row],[Box]]-Table139[[#This Row],[Order]]</f>
        <v>12</v>
      </c>
    </row>
    <row r="142" spans="1:6" x14ac:dyDescent="0.25">
      <c r="A142" s="1" t="s">
        <v>286</v>
      </c>
      <c r="B142" s="1" t="s">
        <v>287</v>
      </c>
      <c r="C142" s="1">
        <f>VLOOKUP(Table139[[#This Row],[Code]],'Main Storage'!A:D,3,0)</f>
        <v>254</v>
      </c>
      <c r="D142" s="1">
        <f>VLOOKUP(Table139[[#This Row],[Code]],Montana!A:F,6,0)</f>
        <v>2</v>
      </c>
      <c r="E142" s="11"/>
      <c r="F142" s="1">
        <f>Table139[[#This Row],[Box]]-Table139[[#This Row],[Order]]</f>
        <v>2</v>
      </c>
    </row>
    <row r="143" spans="1:6" x14ac:dyDescent="0.25">
      <c r="A143" s="1" t="s">
        <v>288</v>
      </c>
      <c r="B143" s="1" t="s">
        <v>289</v>
      </c>
      <c r="C143" s="1">
        <f>VLOOKUP(Table139[[#This Row],[Code]],'Main Storage'!A:D,3,0)</f>
        <v>145</v>
      </c>
      <c r="D143" s="1">
        <f>VLOOKUP(Table139[[#This Row],[Code]],Montana!A:F,6,0)</f>
        <v>1</v>
      </c>
      <c r="E143" s="11"/>
      <c r="F143" s="1">
        <f>Table139[[#This Row],[Box]]-Table139[[#This Row],[Order]]</f>
        <v>1</v>
      </c>
    </row>
    <row r="144" spans="1:6" x14ac:dyDescent="0.25">
      <c r="A144" s="1" t="s">
        <v>290</v>
      </c>
      <c r="B144" s="1" t="s">
        <v>291</v>
      </c>
      <c r="C144" s="1">
        <f>VLOOKUP(Table139[[#This Row],[Code]],'Main Storage'!A:D,3,0)</f>
        <v>193</v>
      </c>
      <c r="D144" s="1">
        <f>VLOOKUP(Table139[[#This Row],[Code]],Montana!A:F,6,0)</f>
        <v>1</v>
      </c>
      <c r="E144" s="11"/>
      <c r="F144" s="1">
        <f>Table139[[#This Row],[Box]]-Table139[[#This Row],[Order]]</f>
        <v>1</v>
      </c>
    </row>
    <row r="145" spans="1:6" x14ac:dyDescent="0.25">
      <c r="A145" s="1" t="s">
        <v>292</v>
      </c>
      <c r="B145" s="1" t="s">
        <v>293</v>
      </c>
      <c r="C145" s="1">
        <f>VLOOKUP(Table139[[#This Row],[Code]],'Main Storage'!A:D,3,0)</f>
        <v>1478</v>
      </c>
      <c r="D145" s="1">
        <f>VLOOKUP(Table139[[#This Row],[Code]],Montana!A:F,6,0)</f>
        <v>12</v>
      </c>
      <c r="E145" s="11"/>
      <c r="F145" s="1">
        <f>Table139[[#This Row],[Box]]-Table139[[#This Row],[Order]]</f>
        <v>12</v>
      </c>
    </row>
    <row r="146" spans="1:6" x14ac:dyDescent="0.25">
      <c r="A146" s="1" t="s">
        <v>294</v>
      </c>
      <c r="B146" s="1" t="s">
        <v>295</v>
      </c>
      <c r="C146" s="1">
        <f>VLOOKUP(Table139[[#This Row],[Code]],'Main Storage'!A:D,3,0)</f>
        <v>958</v>
      </c>
      <c r="D146" s="1">
        <f>VLOOKUP(Table139[[#This Row],[Code]],Montana!A:F,6,0)</f>
        <v>7</v>
      </c>
      <c r="E146" s="11"/>
      <c r="F146" s="1">
        <f>Table139[[#This Row],[Box]]-Table139[[#This Row],[Order]]</f>
        <v>7</v>
      </c>
    </row>
    <row r="147" spans="1:6" x14ac:dyDescent="0.25">
      <c r="A147" s="1" t="s">
        <v>296</v>
      </c>
      <c r="B147" s="1" t="s">
        <v>297</v>
      </c>
      <c r="C147" s="1">
        <f>VLOOKUP(Table139[[#This Row],[Code]],'Main Storage'!A:D,3,0)</f>
        <v>1327</v>
      </c>
      <c r="D147" s="1">
        <f>VLOOKUP(Table139[[#This Row],[Code]],Montana!A:F,6,0)</f>
        <v>11</v>
      </c>
      <c r="E147" s="11"/>
      <c r="F147" s="1">
        <f>Table139[[#This Row],[Box]]-Table139[[#This Row],[Order]]</f>
        <v>11</v>
      </c>
    </row>
    <row r="148" spans="1:6" x14ac:dyDescent="0.25">
      <c r="A148" s="1" t="s">
        <v>298</v>
      </c>
      <c r="B148" s="1" t="s">
        <v>299</v>
      </c>
      <c r="C148" s="1">
        <f>VLOOKUP(Table139[[#This Row],[Code]],'Main Storage'!A:D,3,0)</f>
        <v>1297</v>
      </c>
      <c r="D148" s="1">
        <f>VLOOKUP(Table139[[#This Row],[Code]],Montana!A:F,6,0)</f>
        <v>10</v>
      </c>
      <c r="E148" s="11"/>
      <c r="F148" s="1">
        <f>Table139[[#This Row],[Box]]-Table139[[#This Row],[Order]]</f>
        <v>10</v>
      </c>
    </row>
    <row r="149" spans="1:6" x14ac:dyDescent="0.25">
      <c r="A149" s="1" t="s">
        <v>300</v>
      </c>
      <c r="B149" s="1" t="s">
        <v>301</v>
      </c>
      <c r="C149" s="1">
        <f>VLOOKUP(Table139[[#This Row],[Code]],'Main Storage'!A:D,3,0)</f>
        <v>284</v>
      </c>
      <c r="D149" s="1">
        <f>VLOOKUP(Table139[[#This Row],[Code]],Montana!A:F,6,0)</f>
        <v>2</v>
      </c>
      <c r="E149" s="11"/>
      <c r="F149" s="1">
        <f>Table139[[#This Row],[Box]]-Table139[[#This Row],[Order]]</f>
        <v>2</v>
      </c>
    </row>
    <row r="150" spans="1:6" x14ac:dyDescent="0.25">
      <c r="A150" s="1" t="s">
        <v>302</v>
      </c>
      <c r="B150" s="1" t="s">
        <v>303</v>
      </c>
      <c r="C150" s="1">
        <f>VLOOKUP(Table139[[#This Row],[Code]],'Main Storage'!A:D,3,0)</f>
        <v>177</v>
      </c>
      <c r="D150" s="1">
        <f>VLOOKUP(Table139[[#This Row],[Code]],Montana!A:F,6,0)</f>
        <v>1</v>
      </c>
      <c r="E150" s="11"/>
      <c r="F150" s="1">
        <f>Table139[[#This Row],[Box]]-Table139[[#This Row],[Order]]</f>
        <v>1</v>
      </c>
    </row>
    <row r="151" spans="1:6" x14ac:dyDescent="0.25">
      <c r="A151" s="1" t="s">
        <v>304</v>
      </c>
      <c r="B151" s="1" t="s">
        <v>305</v>
      </c>
      <c r="C151" s="1">
        <f>VLOOKUP(Table139[[#This Row],[Code]],'Main Storage'!A:D,3,0)</f>
        <v>1288</v>
      </c>
      <c r="D151" s="1">
        <f>VLOOKUP(Table139[[#This Row],[Code]],Montana!A:F,6,0)</f>
        <v>10</v>
      </c>
      <c r="E151" s="11"/>
      <c r="F151" s="1">
        <f>Table139[[#This Row],[Box]]-Table139[[#This Row],[Order]]</f>
        <v>10</v>
      </c>
    </row>
    <row r="152" spans="1:6" x14ac:dyDescent="0.25">
      <c r="A152" s="1" t="s">
        <v>306</v>
      </c>
      <c r="B152" s="1" t="s">
        <v>307</v>
      </c>
      <c r="C152" s="1">
        <f>VLOOKUP(Table139[[#This Row],[Code]],'Main Storage'!A:D,3,0)</f>
        <v>1050</v>
      </c>
      <c r="D152" s="1">
        <f>VLOOKUP(Table139[[#This Row],[Code]],Montana!A:F,6,0)</f>
        <v>8</v>
      </c>
      <c r="E152" s="11"/>
      <c r="F152" s="1">
        <f>Table139[[#This Row],[Box]]-Table139[[#This Row],[Order]]</f>
        <v>8</v>
      </c>
    </row>
    <row r="153" spans="1:6" x14ac:dyDescent="0.25">
      <c r="A153" s="1" t="s">
        <v>308</v>
      </c>
      <c r="B153" s="1" t="s">
        <v>309</v>
      </c>
      <c r="C153" s="1">
        <f>VLOOKUP(Table139[[#This Row],[Code]],'Main Storage'!A:D,3,0)</f>
        <v>686</v>
      </c>
      <c r="D153" s="1">
        <f>VLOOKUP(Table139[[#This Row],[Code]],Montana!A:F,6,0)</f>
        <v>5</v>
      </c>
      <c r="E153" s="11"/>
      <c r="F153" s="1">
        <f>Table139[[#This Row],[Box]]-Table139[[#This Row],[Order]]</f>
        <v>5</v>
      </c>
    </row>
    <row r="154" spans="1:6" x14ac:dyDescent="0.25">
      <c r="A154" s="1" t="s">
        <v>310</v>
      </c>
      <c r="B154" s="1" t="s">
        <v>311</v>
      </c>
      <c r="C154" s="1">
        <f>VLOOKUP(Table139[[#This Row],[Code]],'Main Storage'!A:D,3,0)</f>
        <v>238</v>
      </c>
      <c r="D154" s="1">
        <f>VLOOKUP(Table139[[#This Row],[Code]],Montana!A:F,6,0)</f>
        <v>1</v>
      </c>
      <c r="E154" s="11"/>
      <c r="F154" s="1">
        <f>Table139[[#This Row],[Box]]-Table139[[#This Row],[Order]]</f>
        <v>1</v>
      </c>
    </row>
    <row r="155" spans="1:6" x14ac:dyDescent="0.25">
      <c r="A155" s="1" t="s">
        <v>312</v>
      </c>
      <c r="B155" s="1" t="s">
        <v>313</v>
      </c>
      <c r="C155" s="1">
        <f>VLOOKUP(Table139[[#This Row],[Code]],'Main Storage'!A:D,3,0)</f>
        <v>1063</v>
      </c>
      <c r="D155" s="1">
        <f>VLOOKUP(Table139[[#This Row],[Code]],Montana!A:F,6,0)</f>
        <v>8</v>
      </c>
      <c r="E155" s="11"/>
      <c r="F155" s="1">
        <f>Table139[[#This Row],[Box]]-Table139[[#This Row],[Order]]</f>
        <v>8</v>
      </c>
    </row>
    <row r="156" spans="1:6" x14ac:dyDescent="0.25">
      <c r="A156" s="1" t="s">
        <v>314</v>
      </c>
      <c r="B156" s="1" t="s">
        <v>315</v>
      </c>
      <c r="C156" s="1">
        <f>VLOOKUP(Table139[[#This Row],[Code]],'Main Storage'!A:D,3,0)</f>
        <v>508</v>
      </c>
      <c r="D156" s="1">
        <f>VLOOKUP(Table139[[#This Row],[Code]],Montana!A:F,6,0)</f>
        <v>4</v>
      </c>
      <c r="E156" s="11"/>
      <c r="F156" s="1">
        <f>Table139[[#This Row],[Box]]-Table139[[#This Row],[Order]]</f>
        <v>4</v>
      </c>
    </row>
    <row r="157" spans="1:6" x14ac:dyDescent="0.25">
      <c r="A157" s="1" t="s">
        <v>316</v>
      </c>
      <c r="B157" s="1" t="s">
        <v>317</v>
      </c>
      <c r="C157" s="1">
        <f>VLOOKUP(Table139[[#This Row],[Code]],'Main Storage'!A:D,3,0)</f>
        <v>166</v>
      </c>
      <c r="D157" s="1">
        <f>VLOOKUP(Table139[[#This Row],[Code]],Montana!A:F,6,0)</f>
        <v>1</v>
      </c>
      <c r="E157" s="11"/>
      <c r="F157" s="1">
        <f>Table139[[#This Row],[Box]]-Table139[[#This Row],[Order]]</f>
        <v>1</v>
      </c>
    </row>
    <row r="158" spans="1:6" x14ac:dyDescent="0.25">
      <c r="A158" s="1" t="s">
        <v>318</v>
      </c>
      <c r="B158" s="1" t="s">
        <v>319</v>
      </c>
      <c r="C158" s="1">
        <f>VLOOKUP(Table139[[#This Row],[Code]],'Main Storage'!A:D,3,0)</f>
        <v>695</v>
      </c>
      <c r="D158" s="1">
        <f>VLOOKUP(Table139[[#This Row],[Code]],Montana!A:F,6,0)</f>
        <v>5</v>
      </c>
      <c r="E158" s="11"/>
      <c r="F158" s="1">
        <f>Table139[[#This Row],[Box]]-Table139[[#This Row],[Order]]</f>
        <v>5</v>
      </c>
    </row>
    <row r="159" spans="1:6" x14ac:dyDescent="0.25">
      <c r="A159" s="1" t="s">
        <v>320</v>
      </c>
      <c r="B159" s="1" t="s">
        <v>321</v>
      </c>
      <c r="C159" s="1">
        <f>VLOOKUP(Table139[[#This Row],[Code]],'Main Storage'!A:D,3,0)</f>
        <v>1209</v>
      </c>
      <c r="D159" s="1">
        <f>VLOOKUP(Table139[[#This Row],[Code]],Montana!A:F,6,0)</f>
        <v>10</v>
      </c>
      <c r="E159" s="11"/>
      <c r="F159" s="1">
        <f>Table139[[#This Row],[Box]]-Table139[[#This Row],[Order]]</f>
        <v>10</v>
      </c>
    </row>
    <row r="160" spans="1:6" x14ac:dyDescent="0.25">
      <c r="A160" s="1" t="s">
        <v>322</v>
      </c>
      <c r="B160" s="1" t="s">
        <v>323</v>
      </c>
      <c r="C160" s="1">
        <f>VLOOKUP(Table139[[#This Row],[Code]],'Main Storage'!A:D,3,0)</f>
        <v>458</v>
      </c>
      <c r="D160" s="1">
        <f>VLOOKUP(Table139[[#This Row],[Code]],Montana!A:F,6,0)</f>
        <v>3</v>
      </c>
      <c r="E160" s="11"/>
      <c r="F160" s="1">
        <f>Table139[[#This Row],[Box]]-Table139[[#This Row],[Order]]</f>
        <v>3</v>
      </c>
    </row>
    <row r="161" spans="1:6" x14ac:dyDescent="0.25">
      <c r="A161" s="1" t="s">
        <v>324</v>
      </c>
      <c r="B161" s="1" t="s">
        <v>325</v>
      </c>
      <c r="C161" s="1">
        <f>VLOOKUP(Table139[[#This Row],[Code]],'Main Storage'!A:D,3,0)</f>
        <v>557</v>
      </c>
      <c r="D161" s="1">
        <f>VLOOKUP(Table139[[#This Row],[Code]],Montana!A:F,6,0)</f>
        <v>4</v>
      </c>
      <c r="E161" s="11"/>
      <c r="F161" s="1">
        <f>Table139[[#This Row],[Box]]-Table139[[#This Row],[Order]]</f>
        <v>4</v>
      </c>
    </row>
    <row r="162" spans="1:6" x14ac:dyDescent="0.25">
      <c r="A162" s="1" t="s">
        <v>326</v>
      </c>
      <c r="B162" s="1" t="s">
        <v>327</v>
      </c>
      <c r="C162" s="1">
        <f>VLOOKUP(Table139[[#This Row],[Code]],'Main Storage'!A:D,3,0)</f>
        <v>1417</v>
      </c>
      <c r="D162" s="1">
        <f>VLOOKUP(Table139[[#This Row],[Code]],Montana!A:F,6,0)</f>
        <v>11</v>
      </c>
      <c r="E162" s="11"/>
      <c r="F162" s="1">
        <f>Table139[[#This Row],[Box]]-Table139[[#This Row],[Order]]</f>
        <v>11</v>
      </c>
    </row>
    <row r="163" spans="1:6" x14ac:dyDescent="0.25">
      <c r="A163" s="1" t="s">
        <v>328</v>
      </c>
      <c r="B163" s="1" t="s">
        <v>329</v>
      </c>
      <c r="C163" s="1">
        <f>VLOOKUP(Table139[[#This Row],[Code]],'Main Storage'!A:D,3,0)</f>
        <v>86</v>
      </c>
      <c r="D163" s="1">
        <f>VLOOKUP(Table139[[#This Row],[Code]],Montana!A:F,6,0)</f>
        <v>0</v>
      </c>
      <c r="E163" s="11"/>
      <c r="F163" s="1">
        <f>Table139[[#This Row],[Box]]-Table139[[#This Row],[Order]]</f>
        <v>0</v>
      </c>
    </row>
    <row r="164" spans="1:6" x14ac:dyDescent="0.25">
      <c r="A164" s="1" t="s">
        <v>330</v>
      </c>
      <c r="B164" s="1" t="s">
        <v>331</v>
      </c>
      <c r="C164" s="1">
        <f>VLOOKUP(Table139[[#This Row],[Code]],'Main Storage'!A:D,3,0)</f>
        <v>531</v>
      </c>
      <c r="D164" s="1">
        <f>VLOOKUP(Table139[[#This Row],[Code]],Montana!A:F,6,0)</f>
        <v>4</v>
      </c>
      <c r="E164" s="11"/>
      <c r="F164" s="1">
        <f>Table139[[#This Row],[Box]]-Table139[[#This Row],[Order]]</f>
        <v>4</v>
      </c>
    </row>
    <row r="165" spans="1:6" x14ac:dyDescent="0.25">
      <c r="A165" s="1" t="s">
        <v>332</v>
      </c>
      <c r="B165" s="1" t="s">
        <v>333</v>
      </c>
      <c r="C165" s="1">
        <f>VLOOKUP(Table139[[#This Row],[Code]],'Main Storage'!A:D,3,0)</f>
        <v>574</v>
      </c>
      <c r="D165" s="1">
        <f>VLOOKUP(Table139[[#This Row],[Code]],Montana!A:F,6,0)</f>
        <v>4</v>
      </c>
      <c r="E165" s="11"/>
      <c r="F165" s="1">
        <f>Table139[[#This Row],[Box]]-Table139[[#This Row],[Order]]</f>
        <v>4</v>
      </c>
    </row>
    <row r="166" spans="1:6" x14ac:dyDescent="0.25">
      <c r="A166" s="1" t="s">
        <v>334</v>
      </c>
      <c r="B166" s="1" t="s">
        <v>335</v>
      </c>
      <c r="C166" s="1">
        <f>VLOOKUP(Table139[[#This Row],[Code]],'Main Storage'!A:D,3,0)</f>
        <v>908</v>
      </c>
      <c r="D166" s="1">
        <f>VLOOKUP(Table139[[#This Row],[Code]],Montana!A:F,6,0)</f>
        <v>7</v>
      </c>
      <c r="E166" s="11"/>
      <c r="F166" s="1">
        <f>Table139[[#This Row],[Box]]-Table139[[#This Row],[Order]]</f>
        <v>7</v>
      </c>
    </row>
    <row r="167" spans="1:6" x14ac:dyDescent="0.25">
      <c r="A167" s="1" t="s">
        <v>336</v>
      </c>
      <c r="B167" s="1" t="s">
        <v>337</v>
      </c>
      <c r="C167" s="1">
        <f>VLOOKUP(Table139[[#This Row],[Code]],'Main Storage'!A:D,3,0)</f>
        <v>546</v>
      </c>
      <c r="D167" s="1">
        <f>VLOOKUP(Table139[[#This Row],[Code]],Montana!A:F,6,0)</f>
        <v>4</v>
      </c>
      <c r="E167" s="11"/>
      <c r="F167" s="1">
        <f>Table139[[#This Row],[Box]]-Table139[[#This Row],[Order]]</f>
        <v>4</v>
      </c>
    </row>
    <row r="168" spans="1:6" x14ac:dyDescent="0.25">
      <c r="A168" s="1" t="s">
        <v>338</v>
      </c>
      <c r="B168" s="1" t="s">
        <v>339</v>
      </c>
      <c r="C168" s="1">
        <f>VLOOKUP(Table139[[#This Row],[Code]],'Main Storage'!A:D,3,0)</f>
        <v>537</v>
      </c>
      <c r="D168" s="1">
        <f>VLOOKUP(Table139[[#This Row],[Code]],Montana!A:F,6,0)</f>
        <v>4</v>
      </c>
      <c r="E168" s="11"/>
      <c r="F168" s="1">
        <f>Table139[[#This Row],[Box]]-Table139[[#This Row],[Order]]</f>
        <v>4</v>
      </c>
    </row>
    <row r="169" spans="1:6" x14ac:dyDescent="0.25">
      <c r="A169" s="1" t="s">
        <v>340</v>
      </c>
      <c r="B169" s="1" t="s">
        <v>341</v>
      </c>
      <c r="C169" s="1">
        <f>VLOOKUP(Table139[[#This Row],[Code]],'Main Storage'!A:D,3,0)</f>
        <v>579</v>
      </c>
      <c r="D169" s="1">
        <f>VLOOKUP(Table139[[#This Row],[Code]],Montana!A:F,6,0)</f>
        <v>4</v>
      </c>
      <c r="E169" s="11"/>
      <c r="F169" s="1">
        <f>Table139[[#This Row],[Box]]-Table139[[#This Row],[Order]]</f>
        <v>4</v>
      </c>
    </row>
    <row r="170" spans="1:6" x14ac:dyDescent="0.25">
      <c r="A170" s="1" t="s">
        <v>342</v>
      </c>
      <c r="B170" s="1" t="s">
        <v>343</v>
      </c>
      <c r="C170" s="1">
        <f>VLOOKUP(Table139[[#This Row],[Code]],'Main Storage'!A:D,3,0)</f>
        <v>975</v>
      </c>
      <c r="D170" s="1">
        <f>VLOOKUP(Table139[[#This Row],[Code]],Montana!A:F,6,0)</f>
        <v>8</v>
      </c>
      <c r="E170" s="11"/>
      <c r="F170" s="1">
        <f>Table139[[#This Row],[Box]]-Table139[[#This Row],[Order]]</f>
        <v>8</v>
      </c>
    </row>
    <row r="171" spans="1:6" x14ac:dyDescent="0.25">
      <c r="A171" s="1" t="s">
        <v>344</v>
      </c>
      <c r="B171" s="1" t="s">
        <v>345</v>
      </c>
      <c r="C171" s="1">
        <f>VLOOKUP(Table139[[#This Row],[Code]],'Main Storage'!A:D,3,0)</f>
        <v>3</v>
      </c>
      <c r="D171" s="1">
        <f>VLOOKUP(Table139[[#This Row],[Code]],Montana!A:F,6,0)</f>
        <v>0</v>
      </c>
      <c r="E171" s="11"/>
      <c r="F171" s="1">
        <f>Table139[[#This Row],[Box]]-Table139[[#This Row],[Order]]</f>
        <v>0</v>
      </c>
    </row>
    <row r="172" spans="1:6" x14ac:dyDescent="0.25">
      <c r="A172" s="1" t="s">
        <v>346</v>
      </c>
      <c r="B172" s="1" t="s">
        <v>347</v>
      </c>
      <c r="C172" s="1">
        <f>VLOOKUP(Table139[[#This Row],[Code]],'Main Storage'!A:D,3,0)</f>
        <v>677</v>
      </c>
      <c r="D172" s="1">
        <f>VLOOKUP(Table139[[#This Row],[Code]],Montana!A:F,6,0)</f>
        <v>5</v>
      </c>
      <c r="E172" s="11"/>
      <c r="F172" s="1">
        <f>Table139[[#This Row],[Box]]-Table139[[#This Row],[Order]]</f>
        <v>5</v>
      </c>
    </row>
    <row r="173" spans="1:6" x14ac:dyDescent="0.25">
      <c r="A173" s="1" t="s">
        <v>348</v>
      </c>
      <c r="B173" s="1" t="s">
        <v>349</v>
      </c>
      <c r="C173" s="1">
        <f>VLOOKUP(Table139[[#This Row],[Code]],'Main Storage'!A:D,3,0)</f>
        <v>1304</v>
      </c>
      <c r="D173" s="1">
        <f>VLOOKUP(Table139[[#This Row],[Code]],Montana!A:F,6,0)</f>
        <v>10</v>
      </c>
      <c r="E173" s="11"/>
      <c r="F173" s="1">
        <f>Table139[[#This Row],[Box]]-Table139[[#This Row],[Order]]</f>
        <v>10</v>
      </c>
    </row>
    <row r="174" spans="1:6" x14ac:dyDescent="0.25">
      <c r="A174" s="1" t="s">
        <v>350</v>
      </c>
      <c r="B174" s="1" t="s">
        <v>351</v>
      </c>
      <c r="C174" s="1">
        <f>VLOOKUP(Table139[[#This Row],[Code]],'Main Storage'!A:D,3,0)</f>
        <v>929</v>
      </c>
      <c r="D174" s="1">
        <f>VLOOKUP(Table139[[#This Row],[Code]],Montana!A:F,6,0)</f>
        <v>7</v>
      </c>
      <c r="E174" s="11"/>
      <c r="F174" s="1">
        <f>Table139[[#This Row],[Box]]-Table139[[#This Row],[Order]]</f>
        <v>7</v>
      </c>
    </row>
    <row r="175" spans="1:6" x14ac:dyDescent="0.25">
      <c r="A175" s="1" t="s">
        <v>352</v>
      </c>
      <c r="B175" s="1" t="s">
        <v>353</v>
      </c>
      <c r="C175" s="1">
        <f>VLOOKUP(Table139[[#This Row],[Code]],'Main Storage'!A:D,3,0)</f>
        <v>615</v>
      </c>
      <c r="D175" s="1">
        <f>VLOOKUP(Table139[[#This Row],[Code]],Montana!A:F,6,0)</f>
        <v>5</v>
      </c>
      <c r="E175" s="11"/>
      <c r="F175" s="1">
        <f>Table139[[#This Row],[Box]]-Table139[[#This Row],[Order]]</f>
        <v>5</v>
      </c>
    </row>
    <row r="176" spans="1:6" x14ac:dyDescent="0.25">
      <c r="A176" s="1" t="s">
        <v>354</v>
      </c>
      <c r="B176" s="1" t="s">
        <v>355</v>
      </c>
      <c r="C176" s="1">
        <f>VLOOKUP(Table139[[#This Row],[Code]],'Main Storage'!A:D,3,0)</f>
        <v>547</v>
      </c>
      <c r="D176" s="1">
        <f>VLOOKUP(Table139[[#This Row],[Code]],Montana!A:F,6,0)</f>
        <v>4</v>
      </c>
      <c r="E176" s="11"/>
      <c r="F176" s="1">
        <f>Table139[[#This Row],[Box]]-Table139[[#This Row],[Order]]</f>
        <v>4</v>
      </c>
    </row>
    <row r="177" spans="1:6" x14ac:dyDescent="0.25">
      <c r="A177" s="1" t="s">
        <v>356</v>
      </c>
      <c r="B177" s="1" t="s">
        <v>357</v>
      </c>
      <c r="C177" s="1">
        <f>VLOOKUP(Table139[[#This Row],[Code]],'Main Storage'!A:D,3,0)</f>
        <v>481</v>
      </c>
      <c r="D177" s="1">
        <f>VLOOKUP(Table139[[#This Row],[Code]],Montana!A:F,6,0)</f>
        <v>4</v>
      </c>
      <c r="E177" s="11"/>
      <c r="F177" s="1">
        <f>Table139[[#This Row],[Box]]-Table139[[#This Row],[Order]]</f>
        <v>4</v>
      </c>
    </row>
    <row r="178" spans="1:6" x14ac:dyDescent="0.25">
      <c r="A178" s="1" t="s">
        <v>358</v>
      </c>
      <c r="B178" s="1" t="s">
        <v>359</v>
      </c>
      <c r="C178" s="1">
        <f>VLOOKUP(Table139[[#This Row],[Code]],'Main Storage'!A:D,3,0)</f>
        <v>1371</v>
      </c>
      <c r="D178" s="1">
        <f>VLOOKUP(Table139[[#This Row],[Code]],Montana!A:F,6,0)</f>
        <v>11</v>
      </c>
      <c r="E178" s="11"/>
      <c r="F178" s="1">
        <f>Table139[[#This Row],[Box]]-Table139[[#This Row],[Order]]</f>
        <v>11</v>
      </c>
    </row>
    <row r="179" spans="1:6" x14ac:dyDescent="0.25">
      <c r="A179" s="1" t="s">
        <v>360</v>
      </c>
      <c r="B179" s="1" t="s">
        <v>361</v>
      </c>
      <c r="C179" s="1">
        <f>VLOOKUP(Table139[[#This Row],[Code]],'Main Storage'!A:D,3,0)</f>
        <v>944</v>
      </c>
      <c r="D179" s="1">
        <f>VLOOKUP(Table139[[#This Row],[Code]],Montana!A:F,6,0)</f>
        <v>7</v>
      </c>
      <c r="E179" s="11"/>
      <c r="F179" s="1">
        <f>Table139[[#This Row],[Box]]-Table139[[#This Row],[Order]]</f>
        <v>7</v>
      </c>
    </row>
    <row r="180" spans="1:6" x14ac:dyDescent="0.25">
      <c r="A180" s="1" t="s">
        <v>362</v>
      </c>
      <c r="B180" s="1" t="s">
        <v>363</v>
      </c>
      <c r="C180" s="1">
        <f>VLOOKUP(Table139[[#This Row],[Code]],'Main Storage'!A:D,3,0)</f>
        <v>985</v>
      </c>
      <c r="D180" s="1">
        <f>VLOOKUP(Table139[[#This Row],[Code]],Montana!A:F,6,0)</f>
        <v>8</v>
      </c>
      <c r="E180" s="11"/>
      <c r="F180" s="1">
        <f>Table139[[#This Row],[Box]]-Table139[[#This Row],[Order]]</f>
        <v>8</v>
      </c>
    </row>
    <row r="181" spans="1:6" x14ac:dyDescent="0.25">
      <c r="A181" s="1" t="s">
        <v>364</v>
      </c>
      <c r="B181" s="1" t="s">
        <v>365</v>
      </c>
      <c r="C181" s="1">
        <f>VLOOKUP(Table139[[#This Row],[Code]],'Main Storage'!A:D,3,0)</f>
        <v>1374</v>
      </c>
      <c r="D181" s="1">
        <f>VLOOKUP(Table139[[#This Row],[Code]],Montana!A:F,6,0)</f>
        <v>11</v>
      </c>
      <c r="E181" s="11"/>
      <c r="F181" s="1">
        <f>Table139[[#This Row],[Box]]-Table139[[#This Row],[Order]]</f>
        <v>11</v>
      </c>
    </row>
    <row r="182" spans="1:6" x14ac:dyDescent="0.25">
      <c r="A182" s="1" t="s">
        <v>366</v>
      </c>
      <c r="B182" s="1" t="s">
        <v>367</v>
      </c>
      <c r="C182" s="1">
        <f>VLOOKUP(Table139[[#This Row],[Code]],'Main Storage'!A:D,3,0)</f>
        <v>326</v>
      </c>
      <c r="D182" s="1">
        <f>VLOOKUP(Table139[[#This Row],[Code]],Montana!A:F,6,0)</f>
        <v>2</v>
      </c>
      <c r="E182" s="11"/>
      <c r="F182" s="1">
        <f>Table139[[#This Row],[Box]]-Table139[[#This Row],[Order]]</f>
        <v>2</v>
      </c>
    </row>
    <row r="183" spans="1:6" x14ac:dyDescent="0.25">
      <c r="A183" s="1" t="s">
        <v>368</v>
      </c>
      <c r="B183" s="1" t="s">
        <v>369</v>
      </c>
      <c r="C183" s="1">
        <f>VLOOKUP(Table139[[#This Row],[Code]],'Main Storage'!A:D,3,0)</f>
        <v>1218</v>
      </c>
      <c r="D183" s="1">
        <f>VLOOKUP(Table139[[#This Row],[Code]],Montana!A:F,6,0)</f>
        <v>10</v>
      </c>
      <c r="E183" s="11"/>
      <c r="F183" s="1">
        <f>Table139[[#This Row],[Box]]-Table139[[#This Row],[Order]]</f>
        <v>10</v>
      </c>
    </row>
    <row r="184" spans="1:6" x14ac:dyDescent="0.25">
      <c r="A184" s="1" t="s">
        <v>370</v>
      </c>
      <c r="B184" s="1" t="s">
        <v>371</v>
      </c>
      <c r="C184" s="1">
        <f>VLOOKUP(Table139[[#This Row],[Code]],'Main Storage'!A:D,3,0)</f>
        <v>1121</v>
      </c>
      <c r="D184" s="1">
        <f>VLOOKUP(Table139[[#This Row],[Code]],Montana!A:F,6,0)</f>
        <v>9</v>
      </c>
      <c r="E184" s="11"/>
      <c r="F184" s="1">
        <f>Table139[[#This Row],[Box]]-Table139[[#This Row],[Order]]</f>
        <v>9</v>
      </c>
    </row>
    <row r="185" spans="1:6" x14ac:dyDescent="0.25">
      <c r="A185" s="1" t="s">
        <v>372</v>
      </c>
      <c r="B185" s="1" t="s">
        <v>373</v>
      </c>
      <c r="C185" s="1">
        <f>VLOOKUP(Table139[[#This Row],[Code]],'Main Storage'!A:D,3,0)</f>
        <v>1192</v>
      </c>
      <c r="D185" s="1">
        <f>VLOOKUP(Table139[[#This Row],[Code]],Montana!A:F,6,0)</f>
        <v>9</v>
      </c>
      <c r="E185" s="11"/>
      <c r="F185" s="1">
        <f>Table139[[#This Row],[Box]]-Table139[[#This Row],[Order]]</f>
        <v>9</v>
      </c>
    </row>
    <row r="186" spans="1:6" x14ac:dyDescent="0.25">
      <c r="A186" s="1" t="s">
        <v>374</v>
      </c>
      <c r="B186" s="1" t="s">
        <v>375</v>
      </c>
      <c r="C186" s="1">
        <f>VLOOKUP(Table139[[#This Row],[Code]],'Main Storage'!A:D,3,0)</f>
        <v>945</v>
      </c>
      <c r="D186" s="1">
        <f>VLOOKUP(Table139[[#This Row],[Code]],Montana!A:F,6,0)</f>
        <v>7</v>
      </c>
      <c r="E186" s="11"/>
      <c r="F186" s="1">
        <f>Table139[[#This Row],[Box]]-Table139[[#This Row],[Order]]</f>
        <v>7</v>
      </c>
    </row>
    <row r="187" spans="1:6" x14ac:dyDescent="0.25">
      <c r="A187" s="1" t="s">
        <v>376</v>
      </c>
      <c r="B187" s="1" t="s">
        <v>377</v>
      </c>
      <c r="C187" s="1">
        <f>VLOOKUP(Table139[[#This Row],[Code]],'Main Storage'!A:D,3,0)</f>
        <v>1319</v>
      </c>
      <c r="D187" s="1">
        <f>VLOOKUP(Table139[[#This Row],[Code]],Montana!A:F,6,0)</f>
        <v>10</v>
      </c>
      <c r="E187" s="11"/>
      <c r="F187" s="1">
        <f>Table139[[#This Row],[Box]]-Table139[[#This Row],[Order]]</f>
        <v>10</v>
      </c>
    </row>
    <row r="188" spans="1:6" x14ac:dyDescent="0.25">
      <c r="A188" s="1" t="s">
        <v>378</v>
      </c>
      <c r="B188" s="1" t="s">
        <v>379</v>
      </c>
      <c r="C188" s="1">
        <f>VLOOKUP(Table139[[#This Row],[Code]],'Main Storage'!A:D,3,0)</f>
        <v>1253</v>
      </c>
      <c r="D188" s="1">
        <f>VLOOKUP(Table139[[#This Row],[Code]],Montana!A:F,6,0)</f>
        <v>10</v>
      </c>
      <c r="E188" s="11"/>
      <c r="F188" s="1">
        <f>Table139[[#This Row],[Box]]-Table139[[#This Row],[Order]]</f>
        <v>10</v>
      </c>
    </row>
    <row r="189" spans="1:6" x14ac:dyDescent="0.25">
      <c r="A189" s="1" t="s">
        <v>380</v>
      </c>
      <c r="B189" s="1" t="s">
        <v>381</v>
      </c>
      <c r="C189" s="1">
        <f>VLOOKUP(Table139[[#This Row],[Code]],'Main Storage'!A:D,3,0)</f>
        <v>326</v>
      </c>
      <c r="D189" s="1">
        <f>VLOOKUP(Table139[[#This Row],[Code]],Montana!A:F,6,0)</f>
        <v>2</v>
      </c>
      <c r="E189" s="11"/>
      <c r="F189" s="1">
        <f>Table139[[#This Row],[Box]]-Table139[[#This Row],[Order]]</f>
        <v>2</v>
      </c>
    </row>
    <row r="190" spans="1:6" x14ac:dyDescent="0.25">
      <c r="A190" s="1" t="s">
        <v>382</v>
      </c>
      <c r="B190" s="1" t="s">
        <v>383</v>
      </c>
      <c r="C190" s="1">
        <f>VLOOKUP(Table139[[#This Row],[Code]],'Main Storage'!A:D,3,0)</f>
        <v>1285</v>
      </c>
      <c r="D190" s="1">
        <f>VLOOKUP(Table139[[#This Row],[Code]],Montana!A:F,6,0)</f>
        <v>10</v>
      </c>
      <c r="E190" s="11"/>
      <c r="F190" s="1">
        <f>Table139[[#This Row],[Box]]-Table139[[#This Row],[Order]]</f>
        <v>10</v>
      </c>
    </row>
    <row r="191" spans="1:6" x14ac:dyDescent="0.25">
      <c r="A191" s="1" t="s">
        <v>384</v>
      </c>
      <c r="B191" s="1" t="s">
        <v>385</v>
      </c>
      <c r="C191" s="1">
        <f>VLOOKUP(Table139[[#This Row],[Code]],'Main Storage'!A:D,3,0)</f>
        <v>1221</v>
      </c>
      <c r="D191" s="1">
        <f>VLOOKUP(Table139[[#This Row],[Code]],Montana!A:F,6,0)</f>
        <v>10</v>
      </c>
      <c r="E191" s="11"/>
      <c r="F191" s="1">
        <f>Table139[[#This Row],[Box]]-Table139[[#This Row],[Order]]</f>
        <v>10</v>
      </c>
    </row>
    <row r="192" spans="1:6" x14ac:dyDescent="0.25">
      <c r="A192" s="1" t="s">
        <v>386</v>
      </c>
      <c r="B192" s="1" t="s">
        <v>387</v>
      </c>
      <c r="C192" s="1">
        <f>VLOOKUP(Table139[[#This Row],[Code]],'Main Storage'!A:D,3,0)</f>
        <v>83</v>
      </c>
      <c r="D192" s="1">
        <f>VLOOKUP(Table139[[#This Row],[Code]],Montana!A:F,6,0)</f>
        <v>0</v>
      </c>
      <c r="E192" s="11"/>
      <c r="F192" s="1">
        <f>Table139[[#This Row],[Box]]-Table139[[#This Row],[Order]]</f>
        <v>0</v>
      </c>
    </row>
    <row r="193" spans="1:6" x14ac:dyDescent="0.25">
      <c r="A193" s="1" t="s">
        <v>388</v>
      </c>
      <c r="B193" s="1" t="s">
        <v>389</v>
      </c>
      <c r="C193" s="1">
        <f>VLOOKUP(Table139[[#This Row],[Code]],'Main Storage'!A:D,3,0)</f>
        <v>1436</v>
      </c>
      <c r="D193" s="1">
        <f>VLOOKUP(Table139[[#This Row],[Code]],Montana!A:F,6,0)</f>
        <v>17</v>
      </c>
      <c r="E193" s="11"/>
      <c r="F193" s="1">
        <f>Table139[[#This Row],[Box]]-Table139[[#This Row],[Order]]</f>
        <v>17</v>
      </c>
    </row>
    <row r="194" spans="1:6" x14ac:dyDescent="0.25">
      <c r="A194" s="1" t="s">
        <v>390</v>
      </c>
      <c r="B194" s="1" t="s">
        <v>391</v>
      </c>
      <c r="C194" s="1">
        <f>VLOOKUP(Table139[[#This Row],[Code]],'Main Storage'!A:D,3,0)</f>
        <v>249</v>
      </c>
      <c r="D194" s="1">
        <f>VLOOKUP(Table139[[#This Row],[Code]],Montana!A:F,6,0)</f>
        <v>3</v>
      </c>
      <c r="E194" s="11"/>
      <c r="F194" s="1">
        <f>Table139[[#This Row],[Box]]-Table139[[#This Row],[Order]]</f>
        <v>3</v>
      </c>
    </row>
    <row r="195" spans="1:6" x14ac:dyDescent="0.25">
      <c r="A195" s="1" t="s">
        <v>392</v>
      </c>
      <c r="B195" s="1" t="s">
        <v>393</v>
      </c>
      <c r="C195" s="1">
        <f>VLOOKUP(Table139[[#This Row],[Code]],'Main Storage'!A:D,3,0)</f>
        <v>260</v>
      </c>
      <c r="D195" s="1">
        <f>VLOOKUP(Table139[[#This Row],[Code]],Montana!A:F,6,0)</f>
        <v>3</v>
      </c>
      <c r="E195" s="11"/>
      <c r="F195" s="1">
        <f>Table139[[#This Row],[Box]]-Table139[[#This Row],[Order]]</f>
        <v>3</v>
      </c>
    </row>
    <row r="196" spans="1:6" x14ac:dyDescent="0.25">
      <c r="A196" s="1" t="s">
        <v>394</v>
      </c>
      <c r="B196" s="1" t="s">
        <v>395</v>
      </c>
      <c r="C196" s="1">
        <f>VLOOKUP(Table139[[#This Row],[Code]],'Main Storage'!A:D,3,0)</f>
        <v>337</v>
      </c>
      <c r="D196" s="1">
        <f>VLOOKUP(Table139[[#This Row],[Code]],Montana!A:F,6,0)</f>
        <v>4</v>
      </c>
      <c r="E196" s="11"/>
      <c r="F196" s="1">
        <f>Table139[[#This Row],[Box]]-Table139[[#This Row],[Order]]</f>
        <v>4</v>
      </c>
    </row>
    <row r="197" spans="1:6" x14ac:dyDescent="0.25">
      <c r="A197" s="1" t="s">
        <v>396</v>
      </c>
      <c r="B197" s="1" t="s">
        <v>397</v>
      </c>
      <c r="C197" s="1">
        <f>VLOOKUP(Table139[[#This Row],[Code]],'Main Storage'!A:D,3,0)</f>
        <v>895</v>
      </c>
      <c r="D197" s="1">
        <f>VLOOKUP(Table139[[#This Row],[Code]],Montana!A:F,6,0)</f>
        <v>11</v>
      </c>
      <c r="E197" s="11"/>
      <c r="F197" s="1">
        <f>Table139[[#This Row],[Box]]-Table139[[#This Row],[Order]]</f>
        <v>11</v>
      </c>
    </row>
    <row r="198" spans="1:6" x14ac:dyDescent="0.25">
      <c r="A198" s="1" t="s">
        <v>398</v>
      </c>
      <c r="B198" s="1" t="s">
        <v>399</v>
      </c>
      <c r="C198" s="1">
        <f>VLOOKUP(Table139[[#This Row],[Code]],'Main Storage'!A:D,3,0)</f>
        <v>853</v>
      </c>
      <c r="D198" s="1">
        <f>VLOOKUP(Table139[[#This Row],[Code]],Montana!A:F,6,0)</f>
        <v>10</v>
      </c>
      <c r="E198" s="11"/>
      <c r="F198" s="1">
        <f>Table139[[#This Row],[Box]]-Table139[[#This Row],[Order]]</f>
        <v>10</v>
      </c>
    </row>
    <row r="199" spans="1:6" x14ac:dyDescent="0.25">
      <c r="A199" s="1" t="s">
        <v>400</v>
      </c>
      <c r="B199" s="1" t="s">
        <v>401</v>
      </c>
      <c r="C199" s="1">
        <f>VLOOKUP(Table139[[#This Row],[Code]],'Main Storage'!A:D,3,0)</f>
        <v>551</v>
      </c>
      <c r="D199" s="1">
        <f>VLOOKUP(Table139[[#This Row],[Code]],Montana!A:F,6,0)</f>
        <v>6</v>
      </c>
      <c r="E199" s="11"/>
      <c r="F199" s="1">
        <f>Table139[[#This Row],[Box]]-Table139[[#This Row],[Order]]</f>
        <v>6</v>
      </c>
    </row>
    <row r="200" spans="1:6" x14ac:dyDescent="0.25">
      <c r="A200" s="1" t="s">
        <v>402</v>
      </c>
      <c r="B200" s="1" t="s">
        <v>403</v>
      </c>
      <c r="C200" s="1">
        <f>VLOOKUP(Table139[[#This Row],[Code]],'Main Storage'!A:D,3,0)</f>
        <v>425</v>
      </c>
      <c r="D200" s="1">
        <f>VLOOKUP(Table139[[#This Row],[Code]],Montana!A:F,6,0)</f>
        <v>5</v>
      </c>
      <c r="E200" s="11"/>
      <c r="F200" s="1">
        <f>Table139[[#This Row],[Box]]-Table139[[#This Row],[Order]]</f>
        <v>5</v>
      </c>
    </row>
    <row r="201" spans="1:6" x14ac:dyDescent="0.25">
      <c r="A201" s="1" t="s">
        <v>404</v>
      </c>
      <c r="B201" s="1" t="s">
        <v>405</v>
      </c>
      <c r="C201" s="1">
        <f>VLOOKUP(Table139[[#This Row],[Code]],'Main Storage'!A:D,3,0)</f>
        <v>981</v>
      </c>
      <c r="D201" s="1">
        <f>VLOOKUP(Table139[[#This Row],[Code]],Montana!A:F,6,0)</f>
        <v>12</v>
      </c>
      <c r="E201" s="11"/>
      <c r="F201" s="1">
        <f>Table139[[#This Row],[Box]]-Table139[[#This Row],[Order]]</f>
        <v>12</v>
      </c>
    </row>
    <row r="202" spans="1:6" x14ac:dyDescent="0.25">
      <c r="A202" s="1" t="s">
        <v>406</v>
      </c>
      <c r="B202" s="1" t="s">
        <v>407</v>
      </c>
      <c r="C202" s="1">
        <f>VLOOKUP(Table139[[#This Row],[Code]],'Main Storage'!A:D,3,0)</f>
        <v>922</v>
      </c>
      <c r="D202" s="1">
        <f>VLOOKUP(Table139[[#This Row],[Code]],Montana!A:F,6,0)</f>
        <v>11</v>
      </c>
      <c r="E202" s="11"/>
      <c r="F202" s="1">
        <f>Table139[[#This Row],[Box]]-Table139[[#This Row],[Order]]</f>
        <v>11</v>
      </c>
    </row>
    <row r="203" spans="1:6" x14ac:dyDescent="0.25">
      <c r="A203" s="1" t="s">
        <v>408</v>
      </c>
      <c r="B203" s="1" t="s">
        <v>409</v>
      </c>
      <c r="C203" s="1">
        <f>VLOOKUP(Table139[[#This Row],[Code]],'Main Storage'!A:D,3,0)</f>
        <v>515</v>
      </c>
      <c r="D203" s="1">
        <f>VLOOKUP(Table139[[#This Row],[Code]],Montana!A:F,6,0)</f>
        <v>6</v>
      </c>
      <c r="E203" s="11"/>
      <c r="F203" s="1">
        <f>Table139[[#This Row],[Box]]-Table139[[#This Row],[Order]]</f>
        <v>6</v>
      </c>
    </row>
    <row r="204" spans="1:6" x14ac:dyDescent="0.25">
      <c r="A204" s="1" t="s">
        <v>410</v>
      </c>
      <c r="B204" s="1" t="s">
        <v>411</v>
      </c>
      <c r="C204" s="1">
        <f>VLOOKUP(Table139[[#This Row],[Code]],'Main Storage'!A:D,3,0)</f>
        <v>965</v>
      </c>
      <c r="D204" s="1">
        <f>VLOOKUP(Table139[[#This Row],[Code]],Montana!A:F,6,0)</f>
        <v>12</v>
      </c>
      <c r="E204" s="11"/>
      <c r="F204" s="1">
        <f>Table139[[#This Row],[Box]]-Table139[[#This Row],[Order]]</f>
        <v>12</v>
      </c>
    </row>
    <row r="205" spans="1:6" x14ac:dyDescent="0.25">
      <c r="A205" s="1" t="s">
        <v>412</v>
      </c>
      <c r="B205" s="1" t="s">
        <v>413</v>
      </c>
      <c r="C205" s="1">
        <f>VLOOKUP(Table139[[#This Row],[Code]],'Main Storage'!A:D,3,0)</f>
        <v>1494</v>
      </c>
      <c r="D205" s="1">
        <f>VLOOKUP(Table139[[#This Row],[Code]],Montana!A:F,6,0)</f>
        <v>18</v>
      </c>
      <c r="E205" s="11"/>
      <c r="F205" s="1">
        <f>Table139[[#This Row],[Box]]-Table139[[#This Row],[Order]]</f>
        <v>18</v>
      </c>
    </row>
    <row r="206" spans="1:6" x14ac:dyDescent="0.25">
      <c r="A206" s="1" t="s">
        <v>414</v>
      </c>
      <c r="B206" s="1" t="s">
        <v>415</v>
      </c>
      <c r="C206" s="1">
        <f>VLOOKUP(Table139[[#This Row],[Code]],'Main Storage'!A:D,3,0)</f>
        <v>450</v>
      </c>
      <c r="D206" s="1">
        <f>VLOOKUP(Table139[[#This Row],[Code]],Montana!A:F,6,0)</f>
        <v>5</v>
      </c>
      <c r="E206" s="11"/>
      <c r="F206" s="1">
        <f>Table139[[#This Row],[Box]]-Table139[[#This Row],[Order]]</f>
        <v>5</v>
      </c>
    </row>
    <row r="207" spans="1:6" x14ac:dyDescent="0.25">
      <c r="A207" s="1" t="s">
        <v>416</v>
      </c>
      <c r="B207" s="1" t="s">
        <v>417</v>
      </c>
      <c r="C207" s="1">
        <f>VLOOKUP(Table139[[#This Row],[Code]],'Main Storage'!A:D,3,0)</f>
        <v>276</v>
      </c>
      <c r="D207" s="1">
        <f>VLOOKUP(Table139[[#This Row],[Code]],Montana!A:F,6,0)</f>
        <v>3</v>
      </c>
      <c r="E207" s="11"/>
      <c r="F207" s="1">
        <f>Table139[[#This Row],[Box]]-Table139[[#This Row],[Order]]</f>
        <v>3</v>
      </c>
    </row>
    <row r="208" spans="1:6" x14ac:dyDescent="0.25">
      <c r="A208" s="1" t="s">
        <v>418</v>
      </c>
      <c r="B208" s="1" t="s">
        <v>419</v>
      </c>
      <c r="C208" s="1">
        <f>VLOOKUP(Table139[[#This Row],[Code]],'Main Storage'!A:D,3,0)</f>
        <v>189</v>
      </c>
      <c r="D208" s="1">
        <f>VLOOKUP(Table139[[#This Row],[Code]],Montana!A:F,6,0)</f>
        <v>2</v>
      </c>
      <c r="E208" s="11"/>
      <c r="F208" s="1">
        <f>Table139[[#This Row],[Box]]-Table139[[#This Row],[Order]]</f>
        <v>2</v>
      </c>
    </row>
    <row r="209" spans="1:6" x14ac:dyDescent="0.25">
      <c r="A209" s="1" t="s">
        <v>420</v>
      </c>
      <c r="B209" s="1" t="s">
        <v>421</v>
      </c>
      <c r="C209" s="1">
        <f>VLOOKUP(Table139[[#This Row],[Code]],'Main Storage'!A:D,3,0)</f>
        <v>871</v>
      </c>
      <c r="D209" s="1">
        <f>VLOOKUP(Table139[[#This Row],[Code]],Montana!A:F,6,0)</f>
        <v>10</v>
      </c>
      <c r="E209" s="11"/>
      <c r="F209" s="1">
        <f>Table139[[#This Row],[Box]]-Table139[[#This Row],[Order]]</f>
        <v>10</v>
      </c>
    </row>
    <row r="210" spans="1:6" x14ac:dyDescent="0.25">
      <c r="A210" s="1" t="s">
        <v>422</v>
      </c>
      <c r="B210" s="1" t="s">
        <v>423</v>
      </c>
      <c r="C210" s="1">
        <f>VLOOKUP(Table139[[#This Row],[Code]],'Main Storage'!A:D,3,0)</f>
        <v>55</v>
      </c>
      <c r="D210" s="1">
        <f>VLOOKUP(Table139[[#This Row],[Code]],Montana!A:F,6,0)</f>
        <v>0</v>
      </c>
      <c r="E210" s="11"/>
      <c r="F210" s="1">
        <f>Table139[[#This Row],[Box]]-Table139[[#This Row],[Order]]</f>
        <v>0</v>
      </c>
    </row>
    <row r="211" spans="1:6" x14ac:dyDescent="0.25">
      <c r="A211" s="1" t="s">
        <v>427</v>
      </c>
      <c r="C211" s="1">
        <f>VLOOKUP(Table139[[#This Row],[Code]],'Main Storage'!A:D,3,0)</f>
        <v>155010</v>
      </c>
      <c r="D211" s="1">
        <f>VLOOKUP(Table139[[#This Row],[Code]],Montana!A:F,6,0)</f>
        <v>10</v>
      </c>
      <c r="E211" s="11"/>
      <c r="F211" s="1">
        <f>Table139[[#This Row],[Box]]-Table139[[#This Row],[Order]]</f>
        <v>10</v>
      </c>
    </row>
  </sheetData>
  <dataValidations count="1">
    <dataValidation type="whole" allowBlank="1" showInputMessage="1" showErrorMessage="1" errorTitle="Enter Number" error="Just Number between 0 to BOX column" promptTitle="Enter Number" prompt="Just Number between 0 to BOX column" sqref="E2:E211" xr:uid="{8910075D-88C8-4B67-91C0-1AE07D9361DE}">
      <formula1>0</formula1>
      <formula2>D2</formula2>
    </dataValidation>
  </dataValidation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_rels/item78.xml.rels><?xml version="1.0" encoding="UTF-8" standalone="yes"?>
<Relationships xmlns="http://schemas.openxmlformats.org/package/2006/relationships"><Relationship Id="rId1" Type="http://schemas.openxmlformats.org/officeDocument/2006/relationships/customXmlProps" Target="itemProps78.xml"/></Relationships>
</file>

<file path=customXml/_rels/item79.xml.rels><?xml version="1.0" encoding="UTF-8" standalone="yes"?>
<Relationships xmlns="http://schemas.openxmlformats.org/package/2006/relationships"><Relationship Id="rId1" Type="http://schemas.openxmlformats.org/officeDocument/2006/relationships/customXmlProps" Target="itemProps79.xml"/></Relationships>
</file>

<file path=customXml/_rels/item80.xml.rels><?xml version="1.0" encoding="UTF-8" standalone="yes"?>
<Relationships xmlns="http://schemas.openxmlformats.org/package/2006/relationships"><Relationship Id="rId1" Type="http://schemas.openxmlformats.org/officeDocument/2006/relationships/customXmlProps" Target="itemProps80.xml"/></Relationships>
</file>

<file path=customXml/_rels/item81.xml.rels><?xml version="1.0" encoding="UTF-8" standalone="yes"?>
<Relationships xmlns="http://schemas.openxmlformats.org/package/2006/relationships"><Relationship Id="rId1" Type="http://schemas.openxmlformats.org/officeDocument/2006/relationships/customXmlProps" Target="itemProps81.xml"/></Relationships>
</file>

<file path=customXml/_rels/item82.xml.rels><?xml version="1.0" encoding="UTF-8" standalone="yes"?>
<Relationships xmlns="http://schemas.openxmlformats.org/package/2006/relationships"><Relationship Id="rId1" Type="http://schemas.openxmlformats.org/officeDocument/2006/relationships/customXmlProps" Target="itemProps82.xml"/></Relationships>
</file>

<file path=customXml/_rels/item83.xml.rels><?xml version="1.0" encoding="UTF-8" standalone="yes"?>
<Relationships xmlns="http://schemas.openxmlformats.org/package/2006/relationships"><Relationship Id="rId1" Type="http://schemas.openxmlformats.org/officeDocument/2006/relationships/customXmlProps" Target="itemProps83.xml"/></Relationships>
</file>

<file path=customXml/_rels/item84.xml.rels><?xml version="1.0" encoding="UTF-8" standalone="yes"?>
<Relationships xmlns="http://schemas.openxmlformats.org/package/2006/relationships"><Relationship Id="rId1" Type="http://schemas.openxmlformats.org/officeDocument/2006/relationships/customXmlProps" Target="itemProps84.xml"/></Relationships>
</file>

<file path=customXml/_rels/item85.xml.rels><?xml version="1.0" encoding="UTF-8" standalone="yes"?>
<Relationships xmlns="http://schemas.openxmlformats.org/package/2006/relationships"><Relationship Id="rId1" Type="http://schemas.openxmlformats.org/officeDocument/2006/relationships/customXmlProps" Target="itemProps85.xml"/></Relationships>
</file>

<file path=customXml/_rels/item86.xml.rels><?xml version="1.0" encoding="UTF-8" standalone="yes"?>
<Relationships xmlns="http://schemas.openxmlformats.org/package/2006/relationships"><Relationship Id="rId1" Type="http://schemas.openxmlformats.org/officeDocument/2006/relationships/customXmlProps" Target="itemProps86.xml"/></Relationships>
</file>

<file path=customXml/_rels/item87.xml.rels><?xml version="1.0" encoding="UTF-8" standalone="yes"?>
<Relationships xmlns="http://schemas.openxmlformats.org/package/2006/relationships"><Relationship Id="rId1" Type="http://schemas.openxmlformats.org/officeDocument/2006/relationships/customXmlProps" Target="itemProps87.xml"/></Relationships>
</file>

<file path=customXml/_rels/item88.xml.rels><?xml version="1.0" encoding="UTF-8" standalone="yes"?>
<Relationships xmlns="http://schemas.openxmlformats.org/package/2006/relationships"><Relationship Id="rId1" Type="http://schemas.openxmlformats.org/officeDocument/2006/relationships/customXmlProps" Target="itemProps88.xml"/></Relationships>
</file>

<file path=customXml/_rels/item89.xml.rels><?xml version="1.0" encoding="UTF-8" standalone="yes"?>
<Relationships xmlns="http://schemas.openxmlformats.org/package/2006/relationships"><Relationship Id="rId1" Type="http://schemas.openxmlformats.org/officeDocument/2006/relationships/customXmlProps" Target="itemProps89.xml"/></Relationships>
</file>

<file path=customXml/_rels/item90.xml.rels><?xml version="1.0" encoding="UTF-8" standalone="yes"?>
<Relationships xmlns="http://schemas.openxmlformats.org/package/2006/relationships"><Relationship Id="rId1" Type="http://schemas.openxmlformats.org/officeDocument/2006/relationships/customXmlProps" Target="itemProps90.xml"/></Relationships>
</file>

<file path=customXml/_rels/item91.xml.rels><?xml version="1.0" encoding="UTF-8" standalone="yes"?>
<Relationships xmlns="http://schemas.openxmlformats.org/package/2006/relationships"><Relationship Id="rId1" Type="http://schemas.openxmlformats.org/officeDocument/2006/relationships/customXmlProps" Target="itemProps91.xml"/></Relationships>
</file>

<file path=customXml/_rels/item92.xml.rels><?xml version="1.0" encoding="UTF-8" standalone="yes"?>
<Relationships xmlns="http://schemas.openxmlformats.org/package/2006/relationships"><Relationship Id="rId1" Type="http://schemas.openxmlformats.org/officeDocument/2006/relationships/customXmlProps" Target="itemProps92.xml"/></Relationships>
</file>

<file path=customXml/_rels/item93.xml.rels><?xml version="1.0" encoding="UTF-8" standalone="yes"?>
<Relationships xmlns="http://schemas.openxmlformats.org/package/2006/relationships"><Relationship Id="rId1" Type="http://schemas.openxmlformats.org/officeDocument/2006/relationships/customXmlProps" Target="itemProps93.xml"/></Relationships>
</file>

<file path=customXml/_rels/item94.xml.rels><?xml version="1.0" encoding="UTF-8" standalone="yes"?>
<Relationships xmlns="http://schemas.openxmlformats.org/package/2006/relationships"><Relationship Id="rId1" Type="http://schemas.openxmlformats.org/officeDocument/2006/relationships/customXmlProps" Target="itemProps94.xml"/></Relationships>
</file>

<file path=customXml/_rels/item95.xml.rels><?xml version="1.0" encoding="UTF-8" standalone="yes"?>
<Relationships xmlns="http://schemas.openxmlformats.org/package/2006/relationships"><Relationship Id="rId1" Type="http://schemas.openxmlformats.org/officeDocument/2006/relationships/customXmlProps" Target="itemProps95.xml"/></Relationships>
</file>

<file path=customXml/_rels/item96.xml.rels><?xml version="1.0" encoding="UTF-8" standalone="yes"?>
<Relationships xmlns="http://schemas.openxmlformats.org/package/2006/relationships"><Relationship Id="rId1" Type="http://schemas.openxmlformats.org/officeDocument/2006/relationships/customXmlProps" Target="itemProps96.xml"/></Relationships>
</file>

<file path=customXml/_rels/item97.xml.rels><?xml version="1.0" encoding="UTF-8" standalone="yes"?>
<Relationships xmlns="http://schemas.openxmlformats.org/package/2006/relationships"><Relationship Id="rId1" Type="http://schemas.openxmlformats.org/officeDocument/2006/relationships/customXmlProps" Target="itemProps97.xml"/></Relationships>
</file>

<file path=customXml/_rels/item98.xml.rels><?xml version="1.0" encoding="UTF-8" standalone="yes"?>
<Relationships xmlns="http://schemas.openxmlformats.org/package/2006/relationships"><Relationship Id="rId1" Type="http://schemas.openxmlformats.org/officeDocument/2006/relationships/customXmlProps" Target="itemProps98.xml"/></Relationships>
</file>

<file path=customXml/_rels/item99.xml.rels><?xml version="1.0" encoding="UTF-8" standalone="yes"?>
<Relationships xmlns="http://schemas.openxmlformats.org/package/2006/relationships"><Relationship Id="rId1" Type="http://schemas.openxmlformats.org/officeDocument/2006/relationships/customXmlProps" Target="itemProps99.xml"/></Relationships>
</file>

<file path=customXml/_rels/item100.xml.rels><?xml version="1.0" encoding="UTF-8" standalone="yes"?>
<Relationships xmlns="http://schemas.openxmlformats.org/package/2006/relationships"><Relationship Id="rId1" Type="http://schemas.openxmlformats.org/officeDocument/2006/relationships/customXmlProps" Target="itemProps100.xml"/></Relationships>
</file>

<file path=customXml/_rels/item101.xml.rels><?xml version="1.0" encoding="UTF-8" standalone="yes"?>
<Relationships xmlns="http://schemas.openxmlformats.org/package/2006/relationships"><Relationship Id="rId1" Type="http://schemas.openxmlformats.org/officeDocument/2006/relationships/customXmlProps" Target="itemProps101.xml"/></Relationships>
</file>

<file path=customXml/_rels/item102.xml.rels><?xml version="1.0" encoding="UTF-8" standalone="yes"?>
<Relationships xmlns="http://schemas.openxmlformats.org/package/2006/relationships"><Relationship Id="rId1" Type="http://schemas.openxmlformats.org/officeDocument/2006/relationships/customXmlProps" Target="itemProps102.xml"/></Relationships>
</file>

<file path=customXml/_rels/item103.xml.rels><?xml version="1.0" encoding="UTF-8" standalone="yes"?>
<Relationships xmlns="http://schemas.openxmlformats.org/package/2006/relationships"><Relationship Id="rId1" Type="http://schemas.openxmlformats.org/officeDocument/2006/relationships/customXmlProps" Target="itemProps103.xml"/></Relationships>
</file>

<file path=customXml/_rels/item104.xml.rels><?xml version="1.0" encoding="UTF-8" standalone="yes"?>
<Relationships xmlns="http://schemas.openxmlformats.org/package/2006/relationships"><Relationship Id="rId1" Type="http://schemas.openxmlformats.org/officeDocument/2006/relationships/customXmlProps" Target="itemProps104.xml"/></Relationships>
</file>

<file path=customXml/_rels/item105.xml.rels><?xml version="1.0" encoding="UTF-8" standalone="yes"?>
<Relationships xmlns="http://schemas.openxmlformats.org/package/2006/relationships"><Relationship Id="rId1" Type="http://schemas.openxmlformats.org/officeDocument/2006/relationships/customXmlProps" Target="itemProps105.xml"/></Relationships>
</file>

<file path=customXml/_rels/item106.xml.rels><?xml version="1.0" encoding="UTF-8" standalone="yes"?>
<Relationships xmlns="http://schemas.openxmlformats.org/package/2006/relationships"><Relationship Id="rId1" Type="http://schemas.openxmlformats.org/officeDocument/2006/relationships/customXmlProps" Target="itemProps106.xml"/></Relationships>
</file>

<file path=customXml/_rels/item107.xml.rels><?xml version="1.0" encoding="UTF-8" standalone="yes"?>
<Relationships xmlns="http://schemas.openxmlformats.org/package/2006/relationships"><Relationship Id="rId1" Type="http://schemas.openxmlformats.org/officeDocument/2006/relationships/customXmlProps" Target="itemProps107.xml"/></Relationships>
</file>

<file path=customXml/_rels/item108.xml.rels><?xml version="1.0" encoding="UTF-8" standalone="yes"?>
<Relationships xmlns="http://schemas.openxmlformats.org/package/2006/relationships"><Relationship Id="rId1" Type="http://schemas.openxmlformats.org/officeDocument/2006/relationships/customXmlProps" Target="itemProps108.xml"/></Relationships>
</file>

<file path=customXml/_rels/item109.xml.rels><?xml version="1.0" encoding="UTF-8" standalone="yes"?>
<Relationships xmlns="http://schemas.openxmlformats.org/package/2006/relationships"><Relationship Id="rId1" Type="http://schemas.openxmlformats.org/officeDocument/2006/relationships/customXmlProps" Target="itemProps109.xml"/></Relationships>
</file>

<file path=customXml/_rels/item110.xml.rels><?xml version="1.0" encoding="UTF-8" standalone="yes"?>
<Relationships xmlns="http://schemas.openxmlformats.org/package/2006/relationships"><Relationship Id="rId1" Type="http://schemas.openxmlformats.org/officeDocument/2006/relationships/customXmlProps" Target="itemProps110.xml"/></Relationships>
</file>

<file path=customXml/_rels/item111.xml.rels><?xml version="1.0" encoding="UTF-8" standalone="yes"?>
<Relationships xmlns="http://schemas.openxmlformats.org/package/2006/relationships"><Relationship Id="rId1" Type="http://schemas.openxmlformats.org/officeDocument/2006/relationships/customXmlProps" Target="itemProps111.xml"/></Relationships>
</file>

<file path=customXml/_rels/item112.xml.rels><?xml version="1.0" encoding="UTF-8" standalone="yes"?>
<Relationships xmlns="http://schemas.openxmlformats.org/package/2006/relationships"><Relationship Id="rId1" Type="http://schemas.openxmlformats.org/officeDocument/2006/relationships/customXmlProps" Target="itemProps112.xml"/></Relationships>
</file>

<file path=customXml/_rels/item113.xml.rels><?xml version="1.0" encoding="UTF-8" standalone="yes"?>
<Relationships xmlns="http://schemas.openxmlformats.org/package/2006/relationships"><Relationship Id="rId1" Type="http://schemas.openxmlformats.org/officeDocument/2006/relationships/customXmlProps" Target="itemProps113.xml"/></Relationships>
</file>

<file path=customXml/_rels/item114.xml.rels><?xml version="1.0" encoding="UTF-8" standalone="yes"?>
<Relationships xmlns="http://schemas.openxmlformats.org/package/2006/relationships"><Relationship Id="rId1" Type="http://schemas.openxmlformats.org/officeDocument/2006/relationships/customXmlProps" Target="itemProps11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75.xml>�� 
</file>

<file path=customXml/item76.xml>�� 
</file>

<file path=customXml/item77.xml>�� 
</file>

<file path=customXml/item78.xml>�� 
</file>

<file path=customXml/item79.xml>�� 
</file>

<file path=customXml/item80.xml>�� 
</file>

<file path=customXml/item81.xml>�� 
</file>

<file path=customXml/item82.xml>�� 
</file>

<file path=customXml/item83.xml>�� 
</file>

<file path=customXml/item84.xml>�� 
</file>

<file path=customXml/item85.xml>�� 
</file>

<file path=customXml/item86.xml>�� 
</file>

<file path=customXml/item87.xml>�� 
</file>

<file path=customXml/item88.xml>�� 
</file>

<file path=customXml/item89.xml>�� 
</file>

<file path=customXml/item90.xml>�� 
</file>

<file path=customXml/item91.xml>�� 
</file>

<file path=customXml/item92.xml>�� 
</file>

<file path=customXml/item93.xml>�� 
</file>

<file path=customXml/item94.xml>�� 
</file>

<file path=customXml/item95.xml>�� 
</file>

<file path=customXml/item96.xml>�� 
</file>

<file path=customXml/item97.xml>�� 
</file>

<file path=customXml/item98.xml>�� 
</file>

<file path=customXml/item99.xml>�� 
</file>

<file path=customXml/item100.xml>�� 
</file>

<file path=customXml/item101.xml>�� 
</file>

<file path=customXml/item102.xml>�� 
</file>

<file path=customXml/item103.xml>�� 
</file>

<file path=customXml/item104.xml>�� 
</file>

<file path=customXml/item105.xml>�� 
</file>

<file path=customXml/item106.xml>�� 
</file>

<file path=customXml/item107.xml>�� 
</file>

<file path=customXml/item108.xml>�� 
</file>

<file path=customXml/item109.xml>�� 
</file>

<file path=customXml/item110.xml>�� 
</file>

<file path=customXml/item111.xml>�� 
</file>

<file path=customXml/item112.xml>�� 
</file>

<file path=customXml/item113.xml>�� 
</file>

<file path=customXml/item114.xml>�� 
</file>

<file path=customXml/itemProps1.xml><?xml version="1.0" encoding="utf-8"?>
<ds:datastoreItem xmlns:ds="http://schemas.openxmlformats.org/officeDocument/2006/customXml" ds:itemID="{720A789C-34AA-4577-93C0-0C1C8C540912}">
  <ds:schemaRefs/>
</ds:datastoreItem>
</file>

<file path=customXml/itemProps2.xml><?xml version="1.0" encoding="utf-8"?>
<ds:datastoreItem xmlns:ds="http://schemas.openxmlformats.org/officeDocument/2006/customXml" ds:itemID="{249031EB-C986-48AD-93F5-E520F9A18DD5}">
  <ds:schemaRefs/>
</ds:datastoreItem>
</file>

<file path=customXml/itemProps3.xml><?xml version="1.0" encoding="utf-8"?>
<ds:datastoreItem xmlns:ds="http://schemas.openxmlformats.org/officeDocument/2006/customXml" ds:itemID="{EC9BF389-4562-4B4B-8A01-AD3F91635645}">
  <ds:schemaRefs/>
</ds:datastoreItem>
</file>

<file path=customXml/itemProps4.xml><?xml version="1.0" encoding="utf-8"?>
<ds:datastoreItem xmlns:ds="http://schemas.openxmlformats.org/officeDocument/2006/customXml" ds:itemID="{2CEF3BEC-D444-4AE3-A4A7-794D6CC21BA9}">
  <ds:schemaRefs/>
</ds:datastoreItem>
</file>

<file path=customXml/itemProps5.xml><?xml version="1.0" encoding="utf-8"?>
<ds:datastoreItem xmlns:ds="http://schemas.openxmlformats.org/officeDocument/2006/customXml" ds:itemID="{6B2E8D39-5EB9-4EA2-9297-05D8FD477E15}">
  <ds:schemaRefs/>
</ds:datastoreItem>
</file>

<file path=customXml/itemProps6.xml><?xml version="1.0" encoding="utf-8"?>
<ds:datastoreItem xmlns:ds="http://schemas.openxmlformats.org/officeDocument/2006/customXml" ds:itemID="{D3F911DB-924E-4C9F-A312-C1A9B403AAF3}">
  <ds:schemaRefs/>
</ds:datastoreItem>
</file>

<file path=customXml/itemProps7.xml><?xml version="1.0" encoding="utf-8"?>
<ds:datastoreItem xmlns:ds="http://schemas.openxmlformats.org/officeDocument/2006/customXml" ds:itemID="{3C2A9D73-BD05-46FC-B4BC-8E002EE66DE7}">
  <ds:schemaRefs/>
</ds:datastoreItem>
</file>

<file path=customXml/itemProps8.xml><?xml version="1.0" encoding="utf-8"?>
<ds:datastoreItem xmlns:ds="http://schemas.openxmlformats.org/officeDocument/2006/customXml" ds:itemID="{9110EE7E-3E05-488A-96F0-45CB1BECE7CA}">
  <ds:schemaRefs/>
</ds:datastoreItem>
</file>

<file path=customXml/itemProps9.xml><?xml version="1.0" encoding="utf-8"?>
<ds:datastoreItem xmlns:ds="http://schemas.openxmlformats.org/officeDocument/2006/customXml" ds:itemID="{F539A43F-5CDF-4BB3-B3B2-CA8D5AE6C1A4}">
  <ds:schemaRefs>
    <ds:schemaRef ds:uri="http://schemas.microsoft.com/DataMashup"/>
  </ds:schemaRefs>
</ds:datastoreItem>
</file>

<file path=customXml/itemProps10.xml><?xml version="1.0" encoding="utf-8"?>
<ds:datastoreItem xmlns:ds="http://schemas.openxmlformats.org/officeDocument/2006/customXml" ds:itemID="{0ED8D9FC-0F0C-48E0-B95C-988E54ABED33}">
  <ds:schemaRefs/>
</ds:datastoreItem>
</file>

<file path=customXml/itemProps11.xml><?xml version="1.0" encoding="utf-8"?>
<ds:datastoreItem xmlns:ds="http://schemas.openxmlformats.org/officeDocument/2006/customXml" ds:itemID="{C606620F-A0CA-4F42-BC80-26E499411549}">
  <ds:schemaRefs/>
</ds:datastoreItem>
</file>

<file path=customXml/itemProps12.xml><?xml version="1.0" encoding="utf-8"?>
<ds:datastoreItem xmlns:ds="http://schemas.openxmlformats.org/officeDocument/2006/customXml" ds:itemID="{02ACC94E-DE9B-4492-AE73-EDC8264ABFC6}">
  <ds:schemaRefs/>
</ds:datastoreItem>
</file>

<file path=customXml/itemProps13.xml><?xml version="1.0" encoding="utf-8"?>
<ds:datastoreItem xmlns:ds="http://schemas.openxmlformats.org/officeDocument/2006/customXml" ds:itemID="{7D440855-C31E-4392-B842-D481FEEA68D5}">
  <ds:schemaRefs/>
</ds:datastoreItem>
</file>

<file path=customXml/itemProps14.xml><?xml version="1.0" encoding="utf-8"?>
<ds:datastoreItem xmlns:ds="http://schemas.openxmlformats.org/officeDocument/2006/customXml" ds:itemID="{7756BB35-896D-4F1E-B189-18472DCE36F4}">
  <ds:schemaRefs/>
</ds:datastoreItem>
</file>

<file path=customXml/itemProps15.xml><?xml version="1.0" encoding="utf-8"?>
<ds:datastoreItem xmlns:ds="http://schemas.openxmlformats.org/officeDocument/2006/customXml" ds:itemID="{B456B313-7F76-483B-A072-C836342B6BA4}">
  <ds:schemaRefs/>
</ds:datastoreItem>
</file>

<file path=customXml/itemProps16.xml><?xml version="1.0" encoding="utf-8"?>
<ds:datastoreItem xmlns:ds="http://schemas.openxmlformats.org/officeDocument/2006/customXml" ds:itemID="{AC41A951-68FE-40EF-BA1E-297F793436FC}">
  <ds:schemaRefs/>
</ds:datastoreItem>
</file>

<file path=customXml/itemProps17.xml><?xml version="1.0" encoding="utf-8"?>
<ds:datastoreItem xmlns:ds="http://schemas.openxmlformats.org/officeDocument/2006/customXml" ds:itemID="{EE92B09F-B43A-4207-AB80-16C80DBA900C}">
  <ds:schemaRefs/>
</ds:datastoreItem>
</file>

<file path=customXml/itemProps18.xml><?xml version="1.0" encoding="utf-8"?>
<ds:datastoreItem xmlns:ds="http://schemas.openxmlformats.org/officeDocument/2006/customXml" ds:itemID="{A506F1BC-56CD-4600-AB77-DEB52B48AB54}">
  <ds:schemaRefs/>
</ds:datastoreItem>
</file>

<file path=customXml/itemProps19.xml><?xml version="1.0" encoding="utf-8"?>
<ds:datastoreItem xmlns:ds="http://schemas.openxmlformats.org/officeDocument/2006/customXml" ds:itemID="{A9B9B804-419F-4BAD-8825-F7129558783F}">
  <ds:schemaRefs/>
</ds:datastoreItem>
</file>

<file path=customXml/itemProps20.xml><?xml version="1.0" encoding="utf-8"?>
<ds:datastoreItem xmlns:ds="http://schemas.openxmlformats.org/officeDocument/2006/customXml" ds:itemID="{1CEAC138-4115-4C40-8059-7D534146EBE9}">
  <ds:schemaRefs/>
</ds:datastoreItem>
</file>

<file path=customXml/itemProps21.xml><?xml version="1.0" encoding="utf-8"?>
<ds:datastoreItem xmlns:ds="http://schemas.openxmlformats.org/officeDocument/2006/customXml" ds:itemID="{B391348F-92C4-4384-BD6C-0FFDE2912375}">
  <ds:schemaRefs/>
</ds:datastoreItem>
</file>

<file path=customXml/itemProps22.xml><?xml version="1.0" encoding="utf-8"?>
<ds:datastoreItem xmlns:ds="http://schemas.openxmlformats.org/officeDocument/2006/customXml" ds:itemID="{4FB38C50-E512-4849-AE45-9C64D7C1CE53}">
  <ds:schemaRefs/>
</ds:datastoreItem>
</file>

<file path=customXml/itemProps23.xml><?xml version="1.0" encoding="utf-8"?>
<ds:datastoreItem xmlns:ds="http://schemas.openxmlformats.org/officeDocument/2006/customXml" ds:itemID="{C463AA0B-9AE6-44A4-9F2B-351FBB185AAA}">
  <ds:schemaRefs/>
</ds:datastoreItem>
</file>

<file path=customXml/itemProps24.xml><?xml version="1.0" encoding="utf-8"?>
<ds:datastoreItem xmlns:ds="http://schemas.openxmlformats.org/officeDocument/2006/customXml" ds:itemID="{19B28B76-FFE4-41C8-8FFD-5284B9402EF8}">
  <ds:schemaRefs/>
</ds:datastoreItem>
</file>

<file path=customXml/itemProps25.xml><?xml version="1.0" encoding="utf-8"?>
<ds:datastoreItem xmlns:ds="http://schemas.openxmlformats.org/officeDocument/2006/customXml" ds:itemID="{A137AD7E-64BA-490E-B393-CD9D7B9AB3C0}">
  <ds:schemaRefs/>
</ds:datastoreItem>
</file>

<file path=customXml/itemProps26.xml><?xml version="1.0" encoding="utf-8"?>
<ds:datastoreItem xmlns:ds="http://schemas.openxmlformats.org/officeDocument/2006/customXml" ds:itemID="{08A2C5AB-5136-4059-94E4-4D1535C5953A}">
  <ds:schemaRefs/>
</ds:datastoreItem>
</file>

<file path=customXml/itemProps27.xml><?xml version="1.0" encoding="utf-8"?>
<ds:datastoreItem xmlns:ds="http://schemas.openxmlformats.org/officeDocument/2006/customXml" ds:itemID="{48815AFB-62F7-47E5-A116-7291876C64BE}">
  <ds:schemaRefs/>
</ds:datastoreItem>
</file>

<file path=customXml/itemProps28.xml><?xml version="1.0" encoding="utf-8"?>
<ds:datastoreItem xmlns:ds="http://schemas.openxmlformats.org/officeDocument/2006/customXml" ds:itemID="{4A6EE6FC-1270-44E6-8F8B-8EB3E2B12541}">
  <ds:schemaRefs/>
</ds:datastoreItem>
</file>

<file path=customXml/itemProps29.xml><?xml version="1.0" encoding="utf-8"?>
<ds:datastoreItem xmlns:ds="http://schemas.openxmlformats.org/officeDocument/2006/customXml" ds:itemID="{8CED0F95-BEF5-4E6B-83FC-EE594E797A9F}">
  <ds:schemaRefs/>
</ds:datastoreItem>
</file>

<file path=customXml/itemProps30.xml><?xml version="1.0" encoding="utf-8"?>
<ds:datastoreItem xmlns:ds="http://schemas.openxmlformats.org/officeDocument/2006/customXml" ds:itemID="{2B68943A-7682-42C8-B47D-1A720F3C801C}">
  <ds:schemaRefs/>
</ds:datastoreItem>
</file>

<file path=customXml/itemProps31.xml><?xml version="1.0" encoding="utf-8"?>
<ds:datastoreItem xmlns:ds="http://schemas.openxmlformats.org/officeDocument/2006/customXml" ds:itemID="{BD84EA92-83C6-4220-9DBE-DDA3ACA65111}">
  <ds:schemaRefs/>
</ds:datastoreItem>
</file>

<file path=customXml/itemProps32.xml><?xml version="1.0" encoding="utf-8"?>
<ds:datastoreItem xmlns:ds="http://schemas.openxmlformats.org/officeDocument/2006/customXml" ds:itemID="{39AA65AC-77B5-4F1A-9ADD-78C37808F2BE}">
  <ds:schemaRefs/>
</ds:datastoreItem>
</file>

<file path=customXml/itemProps33.xml><?xml version="1.0" encoding="utf-8"?>
<ds:datastoreItem xmlns:ds="http://schemas.openxmlformats.org/officeDocument/2006/customXml" ds:itemID="{3F04473C-7D55-45EA-A938-DFE5A53BADAB}">
  <ds:schemaRefs/>
</ds:datastoreItem>
</file>

<file path=customXml/itemProps34.xml><?xml version="1.0" encoding="utf-8"?>
<ds:datastoreItem xmlns:ds="http://schemas.openxmlformats.org/officeDocument/2006/customXml" ds:itemID="{94B7ACE8-CA44-43D6-8277-3E5CD1814738}">
  <ds:schemaRefs/>
</ds:datastoreItem>
</file>

<file path=customXml/itemProps35.xml><?xml version="1.0" encoding="utf-8"?>
<ds:datastoreItem xmlns:ds="http://schemas.openxmlformats.org/officeDocument/2006/customXml" ds:itemID="{28B3B222-FDF2-47B5-AAAE-FF48AE837665}">
  <ds:schemaRefs/>
</ds:datastoreItem>
</file>

<file path=customXml/itemProps36.xml><?xml version="1.0" encoding="utf-8"?>
<ds:datastoreItem xmlns:ds="http://schemas.openxmlformats.org/officeDocument/2006/customXml" ds:itemID="{0B3ECCD8-FAC0-4E10-A1FC-EAF8290BE204}">
  <ds:schemaRefs/>
</ds:datastoreItem>
</file>

<file path=customXml/itemProps37.xml><?xml version="1.0" encoding="utf-8"?>
<ds:datastoreItem xmlns:ds="http://schemas.openxmlformats.org/officeDocument/2006/customXml" ds:itemID="{BE3783C1-1065-48FD-A538-880CBD5C5865}">
  <ds:schemaRefs/>
</ds:datastoreItem>
</file>

<file path=customXml/itemProps38.xml><?xml version="1.0" encoding="utf-8"?>
<ds:datastoreItem xmlns:ds="http://schemas.openxmlformats.org/officeDocument/2006/customXml" ds:itemID="{5C0CC3A3-8F69-47B8-B547-3AE33AEE81BF}">
  <ds:schemaRefs/>
</ds:datastoreItem>
</file>

<file path=customXml/itemProps39.xml><?xml version="1.0" encoding="utf-8"?>
<ds:datastoreItem xmlns:ds="http://schemas.openxmlformats.org/officeDocument/2006/customXml" ds:itemID="{4679DF7C-BBDF-4EBC-8C0C-00BB41B6BCA6}">
  <ds:schemaRefs/>
</ds:datastoreItem>
</file>

<file path=customXml/itemProps40.xml><?xml version="1.0" encoding="utf-8"?>
<ds:datastoreItem xmlns:ds="http://schemas.openxmlformats.org/officeDocument/2006/customXml" ds:itemID="{B6BE74E9-591A-4130-8E0A-3717D04320DB}">
  <ds:schemaRefs/>
</ds:datastoreItem>
</file>

<file path=customXml/itemProps41.xml><?xml version="1.0" encoding="utf-8"?>
<ds:datastoreItem xmlns:ds="http://schemas.openxmlformats.org/officeDocument/2006/customXml" ds:itemID="{E37CF45F-2609-4A84-A718-20C3CEC3E8E2}">
  <ds:schemaRefs/>
</ds:datastoreItem>
</file>

<file path=customXml/itemProps42.xml><?xml version="1.0" encoding="utf-8"?>
<ds:datastoreItem xmlns:ds="http://schemas.openxmlformats.org/officeDocument/2006/customXml" ds:itemID="{DBE188D9-4B60-4A00-9E66-135EC340793F}">
  <ds:schemaRefs/>
</ds:datastoreItem>
</file>

<file path=customXml/itemProps43.xml><?xml version="1.0" encoding="utf-8"?>
<ds:datastoreItem xmlns:ds="http://schemas.openxmlformats.org/officeDocument/2006/customXml" ds:itemID="{00993E5A-7478-4D03-9442-FB17E378BE5B}">
  <ds:schemaRefs/>
</ds:datastoreItem>
</file>

<file path=customXml/itemProps44.xml><?xml version="1.0" encoding="utf-8"?>
<ds:datastoreItem xmlns:ds="http://schemas.openxmlformats.org/officeDocument/2006/customXml" ds:itemID="{31D3A05F-CB0F-40D3-917E-6E8F4DAA3DE9}">
  <ds:schemaRefs/>
</ds:datastoreItem>
</file>

<file path=customXml/itemProps45.xml><?xml version="1.0" encoding="utf-8"?>
<ds:datastoreItem xmlns:ds="http://schemas.openxmlformats.org/officeDocument/2006/customXml" ds:itemID="{7D473C2C-DBE7-49C0-B91D-29F7A517D075}">
  <ds:schemaRefs/>
</ds:datastoreItem>
</file>

<file path=customXml/itemProps46.xml><?xml version="1.0" encoding="utf-8"?>
<ds:datastoreItem xmlns:ds="http://schemas.openxmlformats.org/officeDocument/2006/customXml" ds:itemID="{662003F7-0BAD-4B0E-A4B5-4591481E635A}">
  <ds:schemaRefs/>
</ds:datastoreItem>
</file>

<file path=customXml/itemProps47.xml><?xml version="1.0" encoding="utf-8"?>
<ds:datastoreItem xmlns:ds="http://schemas.openxmlformats.org/officeDocument/2006/customXml" ds:itemID="{489F883D-C2CE-4933-9FBD-FFDA55F20DAF}">
  <ds:schemaRefs/>
</ds:datastoreItem>
</file>

<file path=customXml/itemProps48.xml><?xml version="1.0" encoding="utf-8"?>
<ds:datastoreItem xmlns:ds="http://schemas.openxmlformats.org/officeDocument/2006/customXml" ds:itemID="{69129E46-458E-4A2F-9335-B7423BDCC3AE}">
  <ds:schemaRefs/>
</ds:datastoreItem>
</file>

<file path=customXml/itemProps49.xml><?xml version="1.0" encoding="utf-8"?>
<ds:datastoreItem xmlns:ds="http://schemas.openxmlformats.org/officeDocument/2006/customXml" ds:itemID="{AAECC518-C6DF-498E-8608-8584DD1615E8}">
  <ds:schemaRefs/>
</ds:datastoreItem>
</file>

<file path=customXml/itemProps50.xml><?xml version="1.0" encoding="utf-8"?>
<ds:datastoreItem xmlns:ds="http://schemas.openxmlformats.org/officeDocument/2006/customXml" ds:itemID="{88798B44-1288-4730-850E-BF6B732A697D}">
  <ds:schemaRefs/>
</ds:datastoreItem>
</file>

<file path=customXml/itemProps51.xml><?xml version="1.0" encoding="utf-8"?>
<ds:datastoreItem xmlns:ds="http://schemas.openxmlformats.org/officeDocument/2006/customXml" ds:itemID="{4EC3620D-3968-4D14-951B-00DC1CC4376F}">
  <ds:schemaRefs/>
</ds:datastoreItem>
</file>

<file path=customXml/itemProps52.xml><?xml version="1.0" encoding="utf-8"?>
<ds:datastoreItem xmlns:ds="http://schemas.openxmlformats.org/officeDocument/2006/customXml" ds:itemID="{98687F93-A27F-4501-9DA3-957D3B2DF022}">
  <ds:schemaRefs/>
</ds:datastoreItem>
</file>

<file path=customXml/itemProps53.xml><?xml version="1.0" encoding="utf-8"?>
<ds:datastoreItem xmlns:ds="http://schemas.openxmlformats.org/officeDocument/2006/customXml" ds:itemID="{754ACCA5-C154-42F0-8E53-83366323E985}">
  <ds:schemaRefs/>
</ds:datastoreItem>
</file>

<file path=customXml/itemProps54.xml><?xml version="1.0" encoding="utf-8"?>
<ds:datastoreItem xmlns:ds="http://schemas.openxmlformats.org/officeDocument/2006/customXml" ds:itemID="{D5C07826-A709-4977-9EF2-F32990BFBA29}">
  <ds:schemaRefs/>
</ds:datastoreItem>
</file>

<file path=customXml/itemProps55.xml><?xml version="1.0" encoding="utf-8"?>
<ds:datastoreItem xmlns:ds="http://schemas.openxmlformats.org/officeDocument/2006/customXml" ds:itemID="{057B8164-BE25-4C4E-8AE9-11191AD86536}">
  <ds:schemaRefs/>
</ds:datastoreItem>
</file>

<file path=customXml/itemProps56.xml><?xml version="1.0" encoding="utf-8"?>
<ds:datastoreItem xmlns:ds="http://schemas.openxmlformats.org/officeDocument/2006/customXml" ds:itemID="{F157B7F4-2948-4052-B591-0CED5BF2CCB4}">
  <ds:schemaRefs/>
</ds:datastoreItem>
</file>

<file path=customXml/itemProps57.xml><?xml version="1.0" encoding="utf-8"?>
<ds:datastoreItem xmlns:ds="http://schemas.openxmlformats.org/officeDocument/2006/customXml" ds:itemID="{170CE290-95F1-423E-B904-E65E9DB8392D}">
  <ds:schemaRefs/>
</ds:datastoreItem>
</file>

<file path=customXml/itemProps58.xml><?xml version="1.0" encoding="utf-8"?>
<ds:datastoreItem xmlns:ds="http://schemas.openxmlformats.org/officeDocument/2006/customXml" ds:itemID="{71EF6A6B-0E3D-4AD4-93A8-F433731E4F05}">
  <ds:schemaRefs/>
</ds:datastoreItem>
</file>

<file path=customXml/itemProps59.xml><?xml version="1.0" encoding="utf-8"?>
<ds:datastoreItem xmlns:ds="http://schemas.openxmlformats.org/officeDocument/2006/customXml" ds:itemID="{C8D73F3C-D4EE-4DA1-B563-F14A759D5750}">
  <ds:schemaRefs/>
</ds:datastoreItem>
</file>

<file path=customXml/itemProps60.xml><?xml version="1.0" encoding="utf-8"?>
<ds:datastoreItem xmlns:ds="http://schemas.openxmlformats.org/officeDocument/2006/customXml" ds:itemID="{BC8FA1C0-9DC5-49FF-859C-9C0A90EC79C8}">
  <ds:schemaRefs/>
</ds:datastoreItem>
</file>

<file path=customXml/itemProps61.xml><?xml version="1.0" encoding="utf-8"?>
<ds:datastoreItem xmlns:ds="http://schemas.openxmlformats.org/officeDocument/2006/customXml" ds:itemID="{6C9E9918-83AC-4A1B-9A6A-C1FC9C3CDEB1}">
  <ds:schemaRefs/>
</ds:datastoreItem>
</file>

<file path=customXml/itemProps62.xml><?xml version="1.0" encoding="utf-8"?>
<ds:datastoreItem xmlns:ds="http://schemas.openxmlformats.org/officeDocument/2006/customXml" ds:itemID="{53E7C452-850A-428A-AF88-2BA1E3345623}">
  <ds:schemaRefs/>
</ds:datastoreItem>
</file>

<file path=customXml/itemProps63.xml><?xml version="1.0" encoding="utf-8"?>
<ds:datastoreItem xmlns:ds="http://schemas.openxmlformats.org/officeDocument/2006/customXml" ds:itemID="{AA175448-BB5F-42D3-9C74-91A3C20ADE45}">
  <ds:schemaRefs/>
</ds:datastoreItem>
</file>

<file path=customXml/itemProps64.xml><?xml version="1.0" encoding="utf-8"?>
<ds:datastoreItem xmlns:ds="http://schemas.openxmlformats.org/officeDocument/2006/customXml" ds:itemID="{438E49A9-9DDE-409A-A53D-13C21B6FE6CA}">
  <ds:schemaRefs/>
</ds:datastoreItem>
</file>

<file path=customXml/itemProps65.xml><?xml version="1.0" encoding="utf-8"?>
<ds:datastoreItem xmlns:ds="http://schemas.openxmlformats.org/officeDocument/2006/customXml" ds:itemID="{8DFEFFC8-A354-4D15-BF47-A1AC7A460795}">
  <ds:schemaRefs/>
</ds:datastoreItem>
</file>

<file path=customXml/itemProps66.xml><?xml version="1.0" encoding="utf-8"?>
<ds:datastoreItem xmlns:ds="http://schemas.openxmlformats.org/officeDocument/2006/customXml" ds:itemID="{61011797-696C-40E6-B8C9-DE4DD733E907}">
  <ds:schemaRefs/>
</ds:datastoreItem>
</file>

<file path=customXml/itemProps67.xml><?xml version="1.0" encoding="utf-8"?>
<ds:datastoreItem xmlns:ds="http://schemas.openxmlformats.org/officeDocument/2006/customXml" ds:itemID="{6BE1AEDD-D00A-4CD9-980E-AEC0A4B41219}">
  <ds:schemaRefs/>
</ds:datastoreItem>
</file>

<file path=customXml/itemProps68.xml><?xml version="1.0" encoding="utf-8"?>
<ds:datastoreItem xmlns:ds="http://schemas.openxmlformats.org/officeDocument/2006/customXml" ds:itemID="{2EB1FEDA-D605-4E0D-8E02-83AFA5E584CB}">
  <ds:schemaRefs/>
</ds:datastoreItem>
</file>

<file path=customXml/itemProps69.xml><?xml version="1.0" encoding="utf-8"?>
<ds:datastoreItem xmlns:ds="http://schemas.openxmlformats.org/officeDocument/2006/customXml" ds:itemID="{41EBB406-9CC5-437F-A3F4-795548A41F44}">
  <ds:schemaRefs/>
</ds:datastoreItem>
</file>

<file path=customXml/itemProps70.xml><?xml version="1.0" encoding="utf-8"?>
<ds:datastoreItem xmlns:ds="http://schemas.openxmlformats.org/officeDocument/2006/customXml" ds:itemID="{3A237D07-3992-4FC1-AA7E-98BBC3C65588}">
  <ds:schemaRefs/>
</ds:datastoreItem>
</file>

<file path=customXml/itemProps71.xml><?xml version="1.0" encoding="utf-8"?>
<ds:datastoreItem xmlns:ds="http://schemas.openxmlformats.org/officeDocument/2006/customXml" ds:itemID="{B021898C-3E69-43A4-82FF-66DDFC4BCFF1}">
  <ds:schemaRefs/>
</ds:datastoreItem>
</file>

<file path=customXml/itemProps72.xml><?xml version="1.0" encoding="utf-8"?>
<ds:datastoreItem xmlns:ds="http://schemas.openxmlformats.org/officeDocument/2006/customXml" ds:itemID="{62A30373-C937-4416-A3EC-25D819455C3A}">
  <ds:schemaRefs/>
</ds:datastoreItem>
</file>

<file path=customXml/itemProps73.xml><?xml version="1.0" encoding="utf-8"?>
<ds:datastoreItem xmlns:ds="http://schemas.openxmlformats.org/officeDocument/2006/customXml" ds:itemID="{DC4453C1-02CF-4CEA-A8CD-DC8B6CE60879}">
  <ds:schemaRefs/>
</ds:datastoreItem>
</file>

<file path=customXml/itemProps74.xml><?xml version="1.0" encoding="utf-8"?>
<ds:datastoreItem xmlns:ds="http://schemas.openxmlformats.org/officeDocument/2006/customXml" ds:itemID="{15850F66-E00E-4D12-9D07-47A6E86A5370}">
  <ds:schemaRefs/>
</ds:datastoreItem>
</file>

<file path=customXml/itemProps75.xml><?xml version="1.0" encoding="utf-8"?>
<ds:datastoreItem xmlns:ds="http://schemas.openxmlformats.org/officeDocument/2006/customXml" ds:itemID="{811946FC-AD5C-42FC-A5B0-E7F1C2209BD7}">
  <ds:schemaRefs/>
</ds:datastoreItem>
</file>

<file path=customXml/itemProps76.xml><?xml version="1.0" encoding="utf-8"?>
<ds:datastoreItem xmlns:ds="http://schemas.openxmlformats.org/officeDocument/2006/customXml" ds:itemID="{2309ECBE-255C-45EA-A7AE-D0C55ADA137D}">
  <ds:schemaRefs/>
</ds:datastoreItem>
</file>

<file path=customXml/itemProps77.xml><?xml version="1.0" encoding="utf-8"?>
<ds:datastoreItem xmlns:ds="http://schemas.openxmlformats.org/officeDocument/2006/customXml" ds:itemID="{679D44C9-8B43-4CE6-92E4-69C5E7A1FA26}">
  <ds:schemaRefs/>
</ds:datastoreItem>
</file>

<file path=customXml/itemProps78.xml><?xml version="1.0" encoding="utf-8"?>
<ds:datastoreItem xmlns:ds="http://schemas.openxmlformats.org/officeDocument/2006/customXml" ds:itemID="{AE15A434-391F-437F-94D0-F19D65D1A1A9}">
  <ds:schemaRefs/>
</ds:datastoreItem>
</file>

<file path=customXml/itemProps79.xml><?xml version="1.0" encoding="utf-8"?>
<ds:datastoreItem xmlns:ds="http://schemas.openxmlformats.org/officeDocument/2006/customXml" ds:itemID="{280C3752-7AA1-4B7C-8A5F-816C35CD4C90}">
  <ds:schemaRefs/>
</ds:datastoreItem>
</file>

<file path=customXml/itemProps80.xml><?xml version="1.0" encoding="utf-8"?>
<ds:datastoreItem xmlns:ds="http://schemas.openxmlformats.org/officeDocument/2006/customXml" ds:itemID="{AB6A0583-546E-4C52-B000-2967AD010746}">
  <ds:schemaRefs/>
</ds:datastoreItem>
</file>

<file path=customXml/itemProps81.xml><?xml version="1.0" encoding="utf-8"?>
<ds:datastoreItem xmlns:ds="http://schemas.openxmlformats.org/officeDocument/2006/customXml" ds:itemID="{F608B630-6715-4E1D-BA39-5B65EC8D7EDB}">
  <ds:schemaRefs/>
</ds:datastoreItem>
</file>

<file path=customXml/itemProps82.xml><?xml version="1.0" encoding="utf-8"?>
<ds:datastoreItem xmlns:ds="http://schemas.openxmlformats.org/officeDocument/2006/customXml" ds:itemID="{D22A9A81-91EF-4F6A-A11B-660038AF90FF}">
  <ds:schemaRefs/>
</ds:datastoreItem>
</file>

<file path=customXml/itemProps83.xml><?xml version="1.0" encoding="utf-8"?>
<ds:datastoreItem xmlns:ds="http://schemas.openxmlformats.org/officeDocument/2006/customXml" ds:itemID="{47E44ED5-738E-4627-B0AB-35EBE4D89C24}">
  <ds:schemaRefs/>
</ds:datastoreItem>
</file>

<file path=customXml/itemProps84.xml><?xml version="1.0" encoding="utf-8"?>
<ds:datastoreItem xmlns:ds="http://schemas.openxmlformats.org/officeDocument/2006/customXml" ds:itemID="{A147FBBA-8704-41B5-B185-5380923E63AE}">
  <ds:schemaRefs/>
</ds:datastoreItem>
</file>

<file path=customXml/itemProps85.xml><?xml version="1.0" encoding="utf-8"?>
<ds:datastoreItem xmlns:ds="http://schemas.openxmlformats.org/officeDocument/2006/customXml" ds:itemID="{73A2FC8C-7041-41C3-A97C-2A2627464432}">
  <ds:schemaRefs/>
</ds:datastoreItem>
</file>

<file path=customXml/itemProps86.xml><?xml version="1.0" encoding="utf-8"?>
<ds:datastoreItem xmlns:ds="http://schemas.openxmlformats.org/officeDocument/2006/customXml" ds:itemID="{F8877911-FE44-4CC5-A808-CF0FCE44ACA6}">
  <ds:schemaRefs>
    <ds:schemaRef ds:uri="http://schemas.microsoft.com/PowerBIAddIn"/>
  </ds:schemaRefs>
</ds:datastoreItem>
</file>

<file path=customXml/itemProps87.xml><?xml version="1.0" encoding="utf-8"?>
<ds:datastoreItem xmlns:ds="http://schemas.openxmlformats.org/officeDocument/2006/customXml" ds:itemID="{4E64113B-5B99-450C-B69E-2506A836E803}">
  <ds:schemaRefs/>
</ds:datastoreItem>
</file>

<file path=customXml/itemProps88.xml><?xml version="1.0" encoding="utf-8"?>
<ds:datastoreItem xmlns:ds="http://schemas.openxmlformats.org/officeDocument/2006/customXml" ds:itemID="{3E0DFF25-ABFE-4F6E-A17F-BD0B4AEB7FB9}">
  <ds:schemaRefs/>
</ds:datastoreItem>
</file>

<file path=customXml/itemProps89.xml><?xml version="1.0" encoding="utf-8"?>
<ds:datastoreItem xmlns:ds="http://schemas.openxmlformats.org/officeDocument/2006/customXml" ds:itemID="{A2C980F3-A3A9-4DEB-A7C2-8F53D6F89813}">
  <ds:schemaRefs/>
</ds:datastoreItem>
</file>

<file path=customXml/itemProps90.xml><?xml version="1.0" encoding="utf-8"?>
<ds:datastoreItem xmlns:ds="http://schemas.openxmlformats.org/officeDocument/2006/customXml" ds:itemID="{04DC4944-DFED-41F7-8A1D-64F8637DFA58}">
  <ds:schemaRefs/>
</ds:datastoreItem>
</file>

<file path=customXml/itemProps91.xml><?xml version="1.0" encoding="utf-8"?>
<ds:datastoreItem xmlns:ds="http://schemas.openxmlformats.org/officeDocument/2006/customXml" ds:itemID="{DB297620-6370-46F3-9D20-2FCC06E68219}">
  <ds:schemaRefs/>
</ds:datastoreItem>
</file>

<file path=customXml/itemProps92.xml><?xml version="1.0" encoding="utf-8"?>
<ds:datastoreItem xmlns:ds="http://schemas.openxmlformats.org/officeDocument/2006/customXml" ds:itemID="{C9EE8FA8-31C3-494B-ADB2-E86A17B16D1A}">
  <ds:schemaRefs/>
</ds:datastoreItem>
</file>

<file path=customXml/itemProps93.xml><?xml version="1.0" encoding="utf-8"?>
<ds:datastoreItem xmlns:ds="http://schemas.openxmlformats.org/officeDocument/2006/customXml" ds:itemID="{A1A1A2F0-C7A3-492C-9586-89D6064B9EAF}">
  <ds:schemaRefs/>
</ds:datastoreItem>
</file>

<file path=customXml/itemProps94.xml><?xml version="1.0" encoding="utf-8"?>
<ds:datastoreItem xmlns:ds="http://schemas.openxmlformats.org/officeDocument/2006/customXml" ds:itemID="{14C1F407-35ED-4073-A224-D01702C070B3}">
  <ds:schemaRefs/>
</ds:datastoreItem>
</file>

<file path=customXml/itemProps95.xml><?xml version="1.0" encoding="utf-8"?>
<ds:datastoreItem xmlns:ds="http://schemas.openxmlformats.org/officeDocument/2006/customXml" ds:itemID="{3DE348B4-E213-4938-AEBB-5C570A8570B9}">
  <ds:schemaRefs/>
</ds:datastoreItem>
</file>

<file path=customXml/itemProps96.xml><?xml version="1.0" encoding="utf-8"?>
<ds:datastoreItem xmlns:ds="http://schemas.openxmlformats.org/officeDocument/2006/customXml" ds:itemID="{726819AE-CB22-4F03-830A-8ED0456D6A5C}">
  <ds:schemaRefs/>
</ds:datastoreItem>
</file>

<file path=customXml/itemProps97.xml><?xml version="1.0" encoding="utf-8"?>
<ds:datastoreItem xmlns:ds="http://schemas.openxmlformats.org/officeDocument/2006/customXml" ds:itemID="{63F13595-A8E6-417D-9A18-70A1F6C06995}">
  <ds:schemaRefs/>
</ds:datastoreItem>
</file>

<file path=customXml/itemProps98.xml><?xml version="1.0" encoding="utf-8"?>
<ds:datastoreItem xmlns:ds="http://schemas.openxmlformats.org/officeDocument/2006/customXml" ds:itemID="{D18F2C28-DE32-4281-90E9-4E6B38FA3915}">
  <ds:schemaRefs/>
</ds:datastoreItem>
</file>

<file path=customXml/itemProps99.xml><?xml version="1.0" encoding="utf-8"?>
<ds:datastoreItem xmlns:ds="http://schemas.openxmlformats.org/officeDocument/2006/customXml" ds:itemID="{05699529-CAD1-416C-9D61-598C7790F1B3}">
  <ds:schemaRefs/>
</ds:datastoreItem>
</file>

<file path=customXml/itemProps100.xml><?xml version="1.0" encoding="utf-8"?>
<ds:datastoreItem xmlns:ds="http://schemas.openxmlformats.org/officeDocument/2006/customXml" ds:itemID="{ADE907EE-B5FC-4AD2-96A6-A0FBCFA576FF}">
  <ds:schemaRefs/>
</ds:datastoreItem>
</file>

<file path=customXml/itemProps101.xml><?xml version="1.0" encoding="utf-8"?>
<ds:datastoreItem xmlns:ds="http://schemas.openxmlformats.org/officeDocument/2006/customXml" ds:itemID="{EF5BE524-BFB6-47A1-8C77-E5FC1F0C6E88}">
  <ds:schemaRefs/>
</ds:datastoreItem>
</file>

<file path=customXml/itemProps102.xml><?xml version="1.0" encoding="utf-8"?>
<ds:datastoreItem xmlns:ds="http://schemas.openxmlformats.org/officeDocument/2006/customXml" ds:itemID="{B314F418-E596-4B2F-B50B-3F03403CA7CE}">
  <ds:schemaRefs/>
</ds:datastoreItem>
</file>

<file path=customXml/itemProps103.xml><?xml version="1.0" encoding="utf-8"?>
<ds:datastoreItem xmlns:ds="http://schemas.openxmlformats.org/officeDocument/2006/customXml" ds:itemID="{6BA96A5C-CBDB-4D79-8215-0A761BCE72D8}">
  <ds:schemaRefs/>
</ds:datastoreItem>
</file>

<file path=customXml/itemProps104.xml><?xml version="1.0" encoding="utf-8"?>
<ds:datastoreItem xmlns:ds="http://schemas.openxmlformats.org/officeDocument/2006/customXml" ds:itemID="{9237B6FC-1C66-41B7-8FC8-FAE7EF00C9E7}">
  <ds:schemaRefs/>
</ds:datastoreItem>
</file>

<file path=customXml/itemProps105.xml><?xml version="1.0" encoding="utf-8"?>
<ds:datastoreItem xmlns:ds="http://schemas.openxmlformats.org/officeDocument/2006/customXml" ds:itemID="{A62BBD02-0F37-4452-8717-6FFC7BC13FBA}">
  <ds:schemaRefs/>
</ds:datastoreItem>
</file>

<file path=customXml/itemProps106.xml><?xml version="1.0" encoding="utf-8"?>
<ds:datastoreItem xmlns:ds="http://schemas.openxmlformats.org/officeDocument/2006/customXml" ds:itemID="{3709CBCE-1416-44C0-9CBC-09C506D6AC57}">
  <ds:schemaRefs/>
</ds:datastoreItem>
</file>

<file path=customXml/itemProps107.xml><?xml version="1.0" encoding="utf-8"?>
<ds:datastoreItem xmlns:ds="http://schemas.openxmlformats.org/officeDocument/2006/customXml" ds:itemID="{6FF83FB5-8971-435D-B9D6-9B797C3D2AC5}">
  <ds:schemaRefs/>
</ds:datastoreItem>
</file>

<file path=customXml/itemProps108.xml><?xml version="1.0" encoding="utf-8"?>
<ds:datastoreItem xmlns:ds="http://schemas.openxmlformats.org/officeDocument/2006/customXml" ds:itemID="{1A2CA1C9-16CF-4855-8F24-8AF86F5C6A7F}">
  <ds:schemaRefs/>
</ds:datastoreItem>
</file>

<file path=customXml/itemProps109.xml><?xml version="1.0" encoding="utf-8"?>
<ds:datastoreItem xmlns:ds="http://schemas.openxmlformats.org/officeDocument/2006/customXml" ds:itemID="{420DB2B9-93B6-447E-9597-DC98A7C24ED5}">
  <ds:schemaRefs/>
</ds:datastoreItem>
</file>

<file path=customXml/itemProps110.xml><?xml version="1.0" encoding="utf-8"?>
<ds:datastoreItem xmlns:ds="http://schemas.openxmlformats.org/officeDocument/2006/customXml" ds:itemID="{D845C17D-8764-40A0-B6F3-B8813CDA90BD}">
  <ds:schemaRefs/>
</ds:datastoreItem>
</file>

<file path=customXml/itemProps111.xml><?xml version="1.0" encoding="utf-8"?>
<ds:datastoreItem xmlns:ds="http://schemas.openxmlformats.org/officeDocument/2006/customXml" ds:itemID="{95DB5331-11A7-4011-8A24-6FC7D625E828}">
  <ds:schemaRefs/>
</ds:datastoreItem>
</file>

<file path=customXml/itemProps112.xml><?xml version="1.0" encoding="utf-8"?>
<ds:datastoreItem xmlns:ds="http://schemas.openxmlformats.org/officeDocument/2006/customXml" ds:itemID="{8C29B10B-E1BE-4E72-AA35-A69D4FE04532}">
  <ds:schemaRefs/>
</ds:datastoreItem>
</file>

<file path=customXml/itemProps113.xml><?xml version="1.0" encoding="utf-8"?>
<ds:datastoreItem xmlns:ds="http://schemas.openxmlformats.org/officeDocument/2006/customXml" ds:itemID="{76F26E26-1628-4C2C-9D5C-ACFF2D756D6E}">
  <ds:schemaRefs/>
</ds:datastoreItem>
</file>

<file path=customXml/itemProps114.xml><?xml version="1.0" encoding="utf-8"?>
<ds:datastoreItem xmlns:ds="http://schemas.openxmlformats.org/officeDocument/2006/customXml" ds:itemID="{7BAA2A91-B953-4AEC-B59A-8A71476539C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Places</vt:lpstr>
      <vt:lpstr>Inventory</vt:lpstr>
      <vt:lpstr>Main Storage</vt:lpstr>
      <vt:lpstr>Inventory storage</vt:lpstr>
      <vt:lpstr>Order</vt:lpstr>
      <vt:lpstr>Connecticut</vt:lpstr>
      <vt:lpstr>Iowa</vt:lpstr>
      <vt:lpstr>Maine</vt:lpstr>
      <vt:lpstr>New York</vt:lpstr>
      <vt:lpstr>Montana</vt:lpstr>
      <vt:lpstr>New Jersey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masoud</dc:creator>
  <cp:lastModifiedBy>masoud</cp:lastModifiedBy>
  <dcterms:created xsi:type="dcterms:W3CDTF">2020-09-13T06:33:34Z</dcterms:created>
  <dcterms:modified xsi:type="dcterms:W3CDTF">2020-11-09T02:51:39Z</dcterms:modified>
</cp:coreProperties>
</file>